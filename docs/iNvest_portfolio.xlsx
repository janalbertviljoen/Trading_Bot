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gular" sheetId="1" state="visible" r:id="rId3"/>
    <sheet name="Bulk buy" sheetId="2" state="visible" r:id="rId4"/>
    <sheet name="Tax_Free" sheetId="3" state="visible" r:id="rId5"/>
    <sheet name="USA" sheetId="4" state="visible" r:id="rId6"/>
    <sheet name="Sept-Nov" sheetId="5" state="visible" r:id="rId7"/>
    <sheet name="Retirement_Anu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<sst xmlns="http://schemas.openxmlformats.org/spreadsheetml/2006/main" count="482" uniqueCount="165">
  <si>
    <t xml:space="preserve">Total funds (R):</t>
  </si>
  <si>
    <t xml:space="preserve">start date: 1 Jul 2022</t>
  </si>
  <si>
    <t xml:space="preserve">Phase in</t>
  </si>
  <si>
    <t xml:space="preserve">#Months</t>
  </si>
  <si>
    <t xml:space="preserve">#Weeks</t>
  </si>
  <si>
    <t xml:space="preserve">payments per year</t>
  </si>
  <si>
    <t xml:space="preserve">Current Week</t>
  </si>
  <si>
    <t xml:space="preserve">Projected growth</t>
  </si>
  <si>
    <t xml:space="preserve">DiV IT (%)</t>
  </si>
  <si>
    <t xml:space="preserve">Funds in IT</t>
  </si>
  <si>
    <t xml:space="preserve">DiV Property (%)</t>
  </si>
  <si>
    <t xml:space="preserve">Funds in Property</t>
  </si>
  <si>
    <t xml:space="preserve">DiV Cash (%)</t>
  </si>
  <si>
    <t xml:space="preserve">Funds in Cash</t>
  </si>
  <si>
    <t xml:space="preserve">DiV Health(%)</t>
  </si>
  <si>
    <t xml:space="preserve">Funds in Health</t>
  </si>
  <si>
    <t xml:space="preserve">DiV Finance (%)</t>
  </si>
  <si>
    <t xml:space="preserve">Funds in Finance</t>
  </si>
  <si>
    <t xml:space="preserve">DiV Communication (%)</t>
  </si>
  <si>
    <t xml:space="preserve">Funds in Communication</t>
  </si>
  <si>
    <t xml:space="preserve">DiV Gold (%)</t>
  </si>
  <si>
    <t xml:space="preserve">ETF</t>
  </si>
  <si>
    <t xml:space="preserve">Growth(%)</t>
  </si>
  <si>
    <t xml:space="preserve">Division (%)</t>
  </si>
  <si>
    <t xml:space="preserve">Growth Div (%)</t>
  </si>
  <si>
    <t xml:space="preserve">Total amount</t>
  </si>
  <si>
    <t xml:space="preserve">Initial Amount</t>
  </si>
  <si>
    <t xml:space="preserve">Input amount</t>
  </si>
  <si>
    <t xml:space="preserve">Purchase/2week</t>
  </si>
  <si>
    <t xml:space="preserve">Purchase/month</t>
  </si>
  <si>
    <t xml:space="preserve">Current Amount</t>
  </si>
  <si>
    <t xml:space="preserve">weekly</t>
  </si>
  <si>
    <t xml:space="preserve">monthly</t>
  </si>
  <si>
    <t xml:space="preserve">WEEKS diff</t>
  </si>
  <si>
    <t xml:space="preserve">Price off</t>
  </si>
  <si>
    <t xml:space="preserve">ETF (%)</t>
  </si>
  <si>
    <t xml:space="preserve">Portfolio</t>
  </si>
  <si>
    <t xml:space="preserve">Current</t>
  </si>
  <si>
    <t xml:space="preserve">Total</t>
  </si>
  <si>
    <t xml:space="preserve">NASDAQ</t>
  </si>
  <si>
    <t xml:space="preserve">S&amp;P 500</t>
  </si>
  <si>
    <t xml:space="preserve">S&amp;P IT</t>
  </si>
  <si>
    <t xml:space="preserve">S&amp;P 1200</t>
  </si>
  <si>
    <t xml:space="preserve">MSCI World</t>
  </si>
  <si>
    <t xml:space="preserve">Eurostoxx 50</t>
  </si>
  <si>
    <t xml:space="preserve">MSCI Japan</t>
  </si>
  <si>
    <t xml:space="preserve">MSCI FTSE</t>
  </si>
  <si>
    <t xml:space="preserve">Global REIT</t>
  </si>
  <si>
    <t xml:space="preserve">RMB Kruger rand</t>
  </si>
  <si>
    <t xml:space="preserve">SA Bonds</t>
  </si>
  <si>
    <t xml:space="preserve">MSCI India</t>
  </si>
  <si>
    <t xml:space="preserve">MSCI China</t>
  </si>
  <si>
    <t xml:space="preserve">Unit Trust</t>
  </si>
  <si>
    <t xml:space="preserve">TOTAL</t>
  </si>
  <si>
    <t xml:space="preserve">Safer assets:</t>
  </si>
  <si>
    <t xml:space="preserve">TOTALS:</t>
  </si>
  <si>
    <t xml:space="preserve">After Trading fee (TF):</t>
  </si>
  <si>
    <t xml:space="preserve">TF</t>
  </si>
  <si>
    <t xml:space="preserve">Weekly</t>
  </si>
  <si>
    <t xml:space="preserve">Monthly</t>
  </si>
  <si>
    <t xml:space="preserve">Actual</t>
  </si>
  <si>
    <t xml:space="preserve">Projected profits PA</t>
  </si>
  <si>
    <t xml:space="preserve">Return on investment</t>
  </si>
  <si>
    <t xml:space="preserve">HIGH</t>
  </si>
  <si>
    <t xml:space="preserve">High</t>
  </si>
  <si>
    <t xml:space="preserve">Low</t>
  </si>
  <si>
    <t xml:space="preserve">Total funds ($):</t>
  </si>
  <si>
    <t xml:space="preserve">start date: 7 March 2022</t>
  </si>
  <si>
    <t xml:space="preserve">Purchase/week</t>
  </si>
  <si>
    <t xml:space="preserve">Dow Jones US</t>
  </si>
  <si>
    <t xml:space="preserve">S&amp;P Growth</t>
  </si>
  <si>
    <t xml:space="preserve">S&amp;P Value</t>
  </si>
  <si>
    <t xml:space="preserve">Europe</t>
  </si>
  <si>
    <t xml:space="preserve">FTSE (All world)</t>
  </si>
  <si>
    <t xml:space="preserve">Fintech Innovation</t>
  </si>
  <si>
    <t xml:space="preserve">High Divident</t>
  </si>
  <si>
    <t xml:space="preserve">REIT</t>
  </si>
  <si>
    <t xml:space="preserve">Bonds 20+</t>
  </si>
  <si>
    <t xml:space="preserve">Rare Earth metal</t>
  </si>
  <si>
    <t xml:space="preserve">Energy ETF</t>
  </si>
  <si>
    <t xml:space="preserve">Autonomous T&amp;R</t>
  </si>
  <si>
    <t xml:space="preserve">Options:</t>
  </si>
  <si>
    <t xml:space="preserve">Space Exploration</t>
  </si>
  <si>
    <t xml:space="preserve">Vangaurd Financials</t>
  </si>
  <si>
    <t xml:space="preserve">Exchange rate(R/$)</t>
  </si>
  <si>
    <t xml:space="preserve">Division of funds</t>
  </si>
  <si>
    <t xml:space="preserve">R</t>
  </si>
  <si>
    <t xml:space="preserve">$</t>
  </si>
  <si>
    <t xml:space="preserve">Income</t>
  </si>
  <si>
    <t xml:space="preserve">Elena income</t>
  </si>
  <si>
    <t xml:space="preserve">4400</t>
  </si>
  <si>
    <t xml:space="preserve">Jan income</t>
  </si>
  <si>
    <t xml:space="preserve">38900</t>
  </si>
  <si>
    <t xml:space="preserve">Easy Equities</t>
  </si>
  <si>
    <t xml:space="preserve">10000</t>
  </si>
  <si>
    <t xml:space="preserve">Storage</t>
  </si>
  <si>
    <t xml:space="preserve">2225</t>
  </si>
  <si>
    <t xml:space="preserve">NFSAS</t>
  </si>
  <si>
    <t xml:space="preserve">3000</t>
  </si>
  <si>
    <t xml:space="preserve">Rent</t>
  </si>
  <si>
    <t xml:space="preserve">1900</t>
  </si>
  <si>
    <t xml:space="preserve">Ratio</t>
  </si>
  <si>
    <t xml:space="preserve">Insurance</t>
  </si>
  <si>
    <t xml:space="preserve">540</t>
  </si>
  <si>
    <t xml:space="preserve">Elena</t>
  </si>
  <si>
    <t xml:space="preserve">Jan</t>
  </si>
  <si>
    <t xml:space="preserve">Jan -&gt; Elena</t>
  </si>
  <si>
    <t xml:space="preserve">Monthly expense</t>
  </si>
  <si>
    <t xml:space="preserve">Sep,Oct,Nov</t>
  </si>
  <si>
    <t xml:space="preserve">No months</t>
  </si>
  <si>
    <t xml:space="preserve">Deductables:</t>
  </si>
  <si>
    <t xml:space="preserve">Flight SA &lt;-&gt; Chicago</t>
  </si>
  <si>
    <t xml:space="preserve">900</t>
  </si>
  <si>
    <t xml:space="preserve">Excluding May flight, (Also CPT Joburg $840)</t>
  </si>
  <si>
    <t xml:space="preserve">Accommodation</t>
  </si>
  <si>
    <t xml:space="preserve">Nights</t>
  </si>
  <si>
    <t xml:space="preserve">per night</t>
  </si>
  <si>
    <t xml:space="preserve">Canada Visa</t>
  </si>
  <si>
    <t xml:space="preserve">400</t>
  </si>
  <si>
    <t xml:space="preserve">Total expense</t>
  </si>
  <si>
    <t xml:space="preserve">Deduct</t>
  </si>
  <si>
    <t xml:space="preserve">Total paid</t>
  </si>
  <si>
    <t xml:space="preserve">Income bracket</t>
  </si>
  <si>
    <t xml:space="preserve">Tax %</t>
  </si>
  <si>
    <t xml:space="preserve">Tax lump</t>
  </si>
  <si>
    <t xml:space="preserve">Annual</t>
  </si>
  <si>
    <t xml:space="preserve">Month SA</t>
  </si>
  <si>
    <t xml:space="preserve">RA %</t>
  </si>
  <si>
    <t xml:space="preserve">min</t>
  </si>
  <si>
    <t xml:space="preserve">max</t>
  </si>
  <si>
    <t xml:space="preserve">72500</t>
  </si>
  <si>
    <t xml:space="preserve">0</t>
  </si>
  <si>
    <t xml:space="preserve">237100</t>
  </si>
  <si>
    <t xml:space="preserve">Tax</t>
  </si>
  <si>
    <t xml:space="preserve">RA Max</t>
  </si>
  <si>
    <t xml:space="preserve">Taxable 
income</t>
  </si>
  <si>
    <t xml:space="preserve">1817000</t>
  </si>
  <si>
    <t xml:space="preserve">New tax</t>
  </si>
  <si>
    <t xml:space="preserve">251 258 + 41% of taxable income above 857 900</t>
  </si>
  <si>
    <t xml:space="preserve">Tax benefit</t>
  </si>
  <si>
    <t xml:space="preserve">Acc Tax</t>
  </si>
  <si>
    <t xml:space="preserve">Percentage</t>
  </si>
  <si>
    <t xml:space="preserve">Threshold</t>
  </si>
  <si>
    <t xml:space="preserve">Tax Bracket</t>
  </si>
  <si>
    <t xml:space="preserve">Montly inv</t>
  </si>
  <si>
    <t xml:space="preserve">Stanlib</t>
  </si>
  <si>
    <t xml:space="preserve">Salary </t>
  </si>
  <si>
    <t xml:space="preserve">Total invest</t>
  </si>
  <si>
    <t xml:space="preserve">After Tax</t>
  </si>
  <si>
    <t xml:space="preserve">Alternative</t>
  </si>
  <si>
    <t xml:space="preserve">Out of pocket</t>
  </si>
  <si>
    <t xml:space="preserve">Expenses</t>
  </si>
  <si>
    <t xml:space="preserve">TFSA</t>
  </si>
  <si>
    <t xml:space="preserve">Monte Vista</t>
  </si>
  <si>
    <t xml:space="preserve">Living Expenses</t>
  </si>
  <si>
    <t xml:space="preserve">Medical </t>
  </si>
  <si>
    <t xml:space="preserve">RA</t>
  </si>
  <si>
    <t xml:space="preserve">Car</t>
  </si>
  <si>
    <t xml:space="preserve">Total savings</t>
  </si>
  <si>
    <t xml:space="preserve">R 211,442.00</t>
  </si>
  <si>
    <t xml:space="preserve">Per month</t>
  </si>
  <si>
    <t xml:space="preserve">Per year</t>
  </si>
  <si>
    <t xml:space="preserve">Tax back</t>
  </si>
  <si>
    <t xml:space="preserve">Interest Bond</t>
  </si>
  <si>
    <t xml:space="preserve">Finance Profit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</si>
</sst>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R-1C09]\ #,##0.00;[RED][$R-1C09]\ #,##0.00"/>
    <numFmt numFmtId="166" formatCode="[$R]\ #,##0.00;[RED][$R]\ #,##0.00"/>
    <numFmt numFmtId="167" formatCode="[$R-1C09]\ #,##0.00;[RED][$R-1C09]\-#,##0.00"/>
    <numFmt numFmtId="168" formatCode="0.00%"/>
    <numFmt numFmtId="169" formatCode="[$$-409]#,##0.00;[RED][$$-409]#,##0.00"/>
    <numFmt numFmtId="170" formatCode="@"/>
    <numFmt numFmtId="171" formatCode="0%"/>
    <numFmt numFmtId="172" formatCode="[$R-1C09]\ #,##0;[RED][$R-1C09]\ 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C9211E"/>
      <name val="Calibri"/>
      <family val="2"/>
      <charset val="1"/>
    </font>
    <font>
      <b val="true"/>
      <sz val="11"/>
      <color rgb="FFC9211E"/>
      <name val="Calibri"/>
      <family val="2"/>
      <charset val="1"/>
    </font>
    <font>
      <sz val="10"/>
      <color theme="1"/>
      <name val="Segoe UI"/>
      <family val="2"/>
      <charset val="1"/>
    </font>
    <font>
      <b val="true"/>
      <sz val="10"/>
      <color theme="1"/>
      <name val="Segoe UI"/>
      <family val="2"/>
      <charset val="1"/>
    </font>
    <font>
      <sz val="8"/>
      <color theme="1"/>
      <name val="Segoe UI"/>
      <family val="2"/>
      <charset val="1"/>
    </font>
    <font>
      <sz val="10"/>
      <color rgb="FF333333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3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7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7" fillId="0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7" fillId="0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0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8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7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103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3359375" defaultRowHeight="12.75" customHeight="true" zeroHeight="false" outlineLevelRow="0" outlineLevelCol="0"/>
  <cols>
    <col collapsed="false" customWidth="true" hidden="false" outlineLevel="0" max="1" min="1" style="1" width="19.33"/>
    <col collapsed="false" customWidth="true" hidden="false" outlineLevel="0" max="3" min="2" style="1" width="11.33"/>
    <col collapsed="false" customWidth="true" hidden="false" outlineLevel="0" max="4" min="4" style="1" width="18.5"/>
    <col collapsed="false" customWidth="true" hidden="false" outlineLevel="0" max="5" min="5" style="1" width="12.5"/>
    <col collapsed="false" customWidth="true" hidden="false" outlineLevel="0" max="6" min="6" style="1" width="11.33"/>
    <col collapsed="false" customWidth="true" hidden="false" outlineLevel="0" max="7" min="7" style="1" width="13.16"/>
    <col collapsed="false" customWidth="true" hidden="false" outlineLevel="0" max="8" min="8" style="1" width="16"/>
    <col collapsed="false" customWidth="true" hidden="false" outlineLevel="0" max="10" min="9" style="1" width="15.66"/>
    <col collapsed="false" customWidth="true" hidden="false" outlineLevel="0" max="11" min="11" style="1" width="12.33"/>
    <col collapsed="false" customWidth="true" hidden="false" outlineLevel="0" max="48" min="12" style="1" width="11.33"/>
    <col collapsed="false" customWidth="true" hidden="false" outlineLevel="0" max="304" min="49" style="2" width="8.67"/>
  </cols>
  <sheetData>
    <row r="1" customFormat="false" ht="13.8" hidden="false" customHeight="false" outlineLevel="0" collapsed="false">
      <c r="A1" s="3" t="s">
        <v>0</v>
      </c>
      <c r="B1" s="4" t="n">
        <f aca="false">10000*8</f>
        <v>80000</v>
      </c>
      <c r="C1" s="4"/>
      <c r="D1" s="4" t="s">
        <v>1</v>
      </c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customFormat="false" ht="13.8" hidden="false" customHeight="false" outlineLevel="0" collapsed="false">
      <c r="A2" s="5" t="s">
        <v>2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customFormat="false" ht="13.8" hidden="false" customHeight="false" outlineLevel="0" collapsed="false">
      <c r="A3" s="6" t="s">
        <v>3</v>
      </c>
      <c r="B3" s="4" t="n">
        <v>8</v>
      </c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4" customFormat="false" ht="13.8" hidden="false" customHeight="false" outlineLevel="0" collapsed="false">
      <c r="A4" s="4" t="s">
        <v>4</v>
      </c>
      <c r="B4" s="4" t="n">
        <f aca="false">B3/12*52</f>
        <v>34.6666666666667</v>
      </c>
      <c r="C4" s="4"/>
      <c r="D4" s="4" t="s">
        <v>5</v>
      </c>
      <c r="E4" s="4" t="n">
        <f aca="false">52/2</f>
        <v>26</v>
      </c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customFormat="false" ht="13.8" hidden="false" customHeight="false" outlineLevel="0" collapsed="false">
      <c r="A5" s="4" t="s">
        <v>6</v>
      </c>
      <c r="B5" s="4" t="n">
        <v>10</v>
      </c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customFormat="false" ht="13.8" hidden="false" customHeight="false" outlineLevel="0" collapsed="false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customFormat="false" ht="13.8" hidden="false" customHeight="false" outlineLevel="0" collapsed="false">
      <c r="A7" s="4"/>
      <c r="B7" s="4"/>
      <c r="C7" s="4"/>
      <c r="D7" s="4"/>
      <c r="E7" s="4"/>
      <c r="F7" s="4"/>
      <c r="G7" s="2"/>
      <c r="H7" s="2"/>
      <c r="I7" s="2"/>
      <c r="J7" s="2"/>
      <c r="K7" s="7" t="s">
        <v>7</v>
      </c>
      <c r="L7" s="2"/>
      <c r="M7" s="2"/>
      <c r="N7" s="8" t="s">
        <v>8</v>
      </c>
      <c r="O7" s="9" t="s">
        <v>9</v>
      </c>
      <c r="P7" s="2"/>
      <c r="Q7" s="8" t="s">
        <v>10</v>
      </c>
      <c r="R7" s="9" t="s">
        <v>11</v>
      </c>
      <c r="S7" s="2"/>
      <c r="T7" s="8" t="s">
        <v>12</v>
      </c>
      <c r="U7" s="9" t="s">
        <v>13</v>
      </c>
      <c r="V7" s="2"/>
      <c r="W7" s="8" t="s">
        <v>14</v>
      </c>
      <c r="X7" s="9" t="s">
        <v>15</v>
      </c>
      <c r="Y7" s="2"/>
      <c r="Z7" s="8" t="s">
        <v>16</v>
      </c>
      <c r="AA7" s="9" t="s">
        <v>17</v>
      </c>
      <c r="AB7" s="2"/>
      <c r="AC7" s="8" t="s">
        <v>18</v>
      </c>
      <c r="AD7" s="9" t="s">
        <v>19</v>
      </c>
      <c r="AE7" s="2"/>
      <c r="AF7" s="8" t="s">
        <v>20</v>
      </c>
      <c r="AG7" s="9" t="s">
        <v>19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customFormat="false" ht="13.8" hidden="false" customHeight="false" outlineLevel="0" collapsed="false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3" t="s">
        <v>30</v>
      </c>
      <c r="K8" s="7" t="s">
        <v>31</v>
      </c>
      <c r="L8" s="7" t="s">
        <v>32</v>
      </c>
      <c r="M8" s="2" t="s">
        <v>33</v>
      </c>
      <c r="N8" s="2" t="s">
        <v>34</v>
      </c>
      <c r="O8" s="10" t="s">
        <v>35</v>
      </c>
      <c r="P8" s="7" t="s">
        <v>36</v>
      </c>
      <c r="Q8" s="7" t="s">
        <v>37</v>
      </c>
      <c r="R8" s="11" t="s">
        <v>38</v>
      </c>
      <c r="S8" s="2"/>
      <c r="T8" s="10" t="s">
        <v>35</v>
      </c>
      <c r="U8" s="7" t="s">
        <v>36</v>
      </c>
      <c r="V8" s="7" t="s">
        <v>37</v>
      </c>
      <c r="W8" s="11" t="s">
        <v>38</v>
      </c>
      <c r="X8" s="2"/>
      <c r="Y8" s="10" t="s">
        <v>35</v>
      </c>
      <c r="Z8" s="7" t="s">
        <v>36</v>
      </c>
      <c r="AA8" s="7" t="s">
        <v>37</v>
      </c>
      <c r="AB8" s="11" t="s">
        <v>38</v>
      </c>
      <c r="AC8" s="2"/>
      <c r="AD8" s="10" t="s">
        <v>35</v>
      </c>
      <c r="AE8" s="7" t="s">
        <v>36</v>
      </c>
      <c r="AF8" s="7" t="s">
        <v>37</v>
      </c>
      <c r="AG8" s="11" t="s">
        <v>38</v>
      </c>
      <c r="AH8" s="2"/>
      <c r="AI8" s="10" t="s">
        <v>35</v>
      </c>
      <c r="AJ8" s="7" t="s">
        <v>36</v>
      </c>
      <c r="AK8" s="7" t="s">
        <v>37</v>
      </c>
      <c r="AL8" s="11" t="s">
        <v>38</v>
      </c>
      <c r="AM8" s="2"/>
      <c r="AN8" s="10" t="s">
        <v>35</v>
      </c>
      <c r="AO8" s="7" t="s">
        <v>36</v>
      </c>
      <c r="AP8" s="7" t="s">
        <v>37</v>
      </c>
      <c r="AQ8" s="11" t="s">
        <v>38</v>
      </c>
      <c r="AR8" s="2"/>
      <c r="AS8" s="10" t="s">
        <v>35</v>
      </c>
      <c r="AT8" s="7" t="s">
        <v>36</v>
      </c>
      <c r="AU8" s="7" t="s">
        <v>37</v>
      </c>
      <c r="AV8" s="11" t="s">
        <v>38</v>
      </c>
    </row>
    <row r="9" customFormat="false" ht="13.8" hidden="false" customHeight="false" outlineLevel="0" collapsed="false">
      <c r="A9" s="12" t="s">
        <v>39</v>
      </c>
      <c r="B9" s="13" t="n">
        <v>30</v>
      </c>
      <c r="C9" s="13" t="n">
        <v>14</v>
      </c>
      <c r="D9" s="14" t="n">
        <f aca="false">B9*C9/100</f>
        <v>4.2</v>
      </c>
      <c r="E9" s="15" t="n">
        <f aca="false">$B$1*C9/100</f>
        <v>11200</v>
      </c>
      <c r="F9" s="15" t="n">
        <v>0</v>
      </c>
      <c r="G9" s="15" t="n">
        <f aca="false">E9-F9</f>
        <v>11200</v>
      </c>
      <c r="H9" s="15" t="n">
        <f aca="false">G9/($B$4)*2</f>
        <v>646.153846153846</v>
      </c>
      <c r="I9" s="15" t="n">
        <f aca="false">G9/($B$3)</f>
        <v>1400</v>
      </c>
      <c r="J9" s="15" t="n">
        <f aca="false">F9+H9/2*$B$5</f>
        <v>3230.76923076923</v>
      </c>
      <c r="K9" s="16" t="n">
        <f aca="false">H9*(1+B9/100/52)^(52-$B$4/2)*( ( (1+B9/100/52)^($B$4/2)-1) / (B9/100/52) ) + F9*(1+B9/100/52)^(52)</f>
        <v>14335.3988463828</v>
      </c>
      <c r="L9" s="16" t="n">
        <f aca="false">I9*(1+B9/100/12)^(12-$B$3)*(((1+B9/100/12)^$B$3-1)/(B9/100/12)) + F9*(1+B9/100/12)^(12)</f>
        <v>13500.2522827927</v>
      </c>
      <c r="M9" s="2" t="n">
        <v>0</v>
      </c>
      <c r="N9" s="16" t="n">
        <f aca="false">M9*H9</f>
        <v>0</v>
      </c>
      <c r="O9" s="17" t="n">
        <v>50</v>
      </c>
      <c r="P9" s="13" t="n">
        <f aca="false">C9*O9/100</f>
        <v>7</v>
      </c>
      <c r="Q9" s="16" t="n">
        <f aca="false">J9*O9/100</f>
        <v>1615.38461538462</v>
      </c>
      <c r="R9" s="18" t="n">
        <f aca="false">$E9*O9/100</f>
        <v>5600</v>
      </c>
      <c r="S9" s="2"/>
      <c r="T9" s="17" t="n">
        <v>0</v>
      </c>
      <c r="U9" s="13" t="n">
        <f aca="false">C9*T9/100</f>
        <v>0</v>
      </c>
      <c r="V9" s="16" t="n">
        <f aca="false">J9*T9/100</f>
        <v>0</v>
      </c>
      <c r="W9" s="18" t="n">
        <f aca="false">$E9*T9/100</f>
        <v>0</v>
      </c>
      <c r="X9" s="2"/>
      <c r="Y9" s="17" t="n">
        <v>0</v>
      </c>
      <c r="Z9" s="13" t="n">
        <f aca="false">C9*Y9/100</f>
        <v>0</v>
      </c>
      <c r="AA9" s="16" t="n">
        <f aca="false">J9*Y9/100</f>
        <v>0</v>
      </c>
      <c r="AB9" s="18" t="n">
        <f aca="false">$E9*Y9/100</f>
        <v>0</v>
      </c>
      <c r="AC9" s="2"/>
      <c r="AD9" s="19" t="n">
        <v>6.7</v>
      </c>
      <c r="AE9" s="13" t="n">
        <f aca="false">$C9*AD9/100</f>
        <v>0.938</v>
      </c>
      <c r="AF9" s="16" t="n">
        <f aca="false">$J9*AD9/100</f>
        <v>216.461538461538</v>
      </c>
      <c r="AG9" s="18" t="n">
        <f aca="false">$E9*AD9/100</f>
        <v>750.4</v>
      </c>
      <c r="AH9" s="2"/>
      <c r="AI9" s="19" t="n">
        <v>0</v>
      </c>
      <c r="AJ9" s="13" t="n">
        <f aca="false">$C9*AI9/100</f>
        <v>0</v>
      </c>
      <c r="AK9" s="16" t="n">
        <f aca="false">$J9*AI9/100</f>
        <v>0</v>
      </c>
      <c r="AL9" s="18" t="n">
        <f aca="false">$E9*AI9/100</f>
        <v>0</v>
      </c>
      <c r="AM9" s="2"/>
      <c r="AN9" s="19" t="n">
        <v>20</v>
      </c>
      <c r="AO9" s="13" t="n">
        <f aca="false">$C9*AN9/100</f>
        <v>2.8</v>
      </c>
      <c r="AP9" s="16" t="n">
        <f aca="false">$J9*AN9/100</f>
        <v>646.153846153846</v>
      </c>
      <c r="AQ9" s="18" t="n">
        <f aca="false">$E9*AN9/100</f>
        <v>2240</v>
      </c>
      <c r="AR9" s="2"/>
      <c r="AS9" s="19" t="n">
        <v>0</v>
      </c>
      <c r="AT9" s="13" t="n">
        <f aca="false">$C9*AS9/100</f>
        <v>0</v>
      </c>
      <c r="AU9" s="16" t="n">
        <f aca="false">$J9*AS9/100</f>
        <v>0</v>
      </c>
      <c r="AV9" s="18" t="n">
        <f aca="false">$E9*AS9/100</f>
        <v>0</v>
      </c>
    </row>
    <row r="10" customFormat="false" ht="13.8" hidden="false" customHeight="false" outlineLevel="0" collapsed="false">
      <c r="A10" s="12" t="s">
        <v>40</v>
      </c>
      <c r="B10" s="13" t="n">
        <v>20</v>
      </c>
      <c r="C10" s="13" t="n">
        <v>10</v>
      </c>
      <c r="D10" s="14" t="n">
        <f aca="false">B10*C10/100</f>
        <v>2</v>
      </c>
      <c r="E10" s="15" t="n">
        <f aca="false">$B$1*C10/100</f>
        <v>8000</v>
      </c>
      <c r="F10" s="15" t="n">
        <v>0</v>
      </c>
      <c r="G10" s="15" t="n">
        <f aca="false">E10-F10</f>
        <v>8000</v>
      </c>
      <c r="H10" s="15" t="n">
        <f aca="false">G10/($B$4)*2</f>
        <v>461.538461538462</v>
      </c>
      <c r="I10" s="15" t="n">
        <f aca="false">G10/($B$3)</f>
        <v>1000</v>
      </c>
      <c r="J10" s="15" t="n">
        <f aca="false">F10+H10/2*$B$5</f>
        <v>2307.69230769231</v>
      </c>
      <c r="K10" s="16" t="n">
        <f aca="false">H10*(1+B10/100/52)^(52-$B$4/2)*( ( (1+B10/100/52)^($B$4/2)-1) / (B10/100/52) ) + F10*(1+B10/100/52)^(52)</f>
        <v>9431.47953985255</v>
      </c>
      <c r="L10" s="16" t="n">
        <f aca="false">I10*(1+B10/100/12)^(12-$B$3)*(((1+B10/100/12)^$B$3-1)/(B10/100/12)) + F10*(1+B10/100/12)^(12)</f>
        <v>9062.34935357317</v>
      </c>
      <c r="M10" s="2" t="n">
        <v>0</v>
      </c>
      <c r="N10" s="16" t="n">
        <f aca="false">M10*H10</f>
        <v>0</v>
      </c>
      <c r="O10" s="17" t="n">
        <v>30</v>
      </c>
      <c r="P10" s="13" t="n">
        <f aca="false">C10*O10/100</f>
        <v>3</v>
      </c>
      <c r="Q10" s="16" t="n">
        <f aca="false">J10*O10/100</f>
        <v>692.307692307692</v>
      </c>
      <c r="R10" s="18" t="n">
        <f aca="false">$E10*O10/100</f>
        <v>2400</v>
      </c>
      <c r="S10" s="2"/>
      <c r="T10" s="17" t="n">
        <v>2.9</v>
      </c>
      <c r="U10" s="13" t="n">
        <f aca="false">C10*T10/100</f>
        <v>0.29</v>
      </c>
      <c r="V10" s="20" t="n">
        <f aca="false">J10*T10/100</f>
        <v>66.9230769230769</v>
      </c>
      <c r="W10" s="21" t="n">
        <f aca="false">$E10*T10/100</f>
        <v>232</v>
      </c>
      <c r="X10" s="2"/>
      <c r="Y10" s="17" t="n">
        <v>0.1</v>
      </c>
      <c r="Z10" s="13" t="n">
        <f aca="false">C10*Y10/100</f>
        <v>0.01</v>
      </c>
      <c r="AA10" s="20" t="n">
        <f aca="false">J10*Y10/100</f>
        <v>2.30769230769231</v>
      </c>
      <c r="AB10" s="21" t="n">
        <f aca="false">$E10*Y10/100</f>
        <v>8</v>
      </c>
      <c r="AC10" s="2"/>
      <c r="AD10" s="19" t="n">
        <v>14.6</v>
      </c>
      <c r="AE10" s="13" t="n">
        <f aca="false">$C10*AD10/100</f>
        <v>1.46</v>
      </c>
      <c r="AF10" s="22" t="n">
        <f aca="false">$J10*AD10/100</f>
        <v>336.923076923077</v>
      </c>
      <c r="AG10" s="23" t="n">
        <f aca="false">$E10*AD10/100</f>
        <v>1168</v>
      </c>
      <c r="AH10" s="2"/>
      <c r="AI10" s="19" t="n">
        <v>12.7</v>
      </c>
      <c r="AJ10" s="13" t="n">
        <f aca="false">$C10*AI10/100</f>
        <v>1.27</v>
      </c>
      <c r="AK10" s="22" t="n">
        <f aca="false">$J10*AI10/100</f>
        <v>293.076923076923</v>
      </c>
      <c r="AL10" s="23" t="n">
        <f aca="false">$E10*AI10/100</f>
        <v>1016</v>
      </c>
      <c r="AM10" s="2"/>
      <c r="AN10" s="19" t="n">
        <v>0</v>
      </c>
      <c r="AO10" s="13" t="n">
        <f aca="false">$C10*AN10/100</f>
        <v>0</v>
      </c>
      <c r="AP10" s="20" t="n">
        <f aca="false">$J10*AN10/100</f>
        <v>0</v>
      </c>
      <c r="AQ10" s="21" t="n">
        <f aca="false">$E10*AN10/100</f>
        <v>0</v>
      </c>
      <c r="AR10" s="2"/>
      <c r="AS10" s="19" t="n">
        <v>0</v>
      </c>
      <c r="AT10" s="13" t="n">
        <f aca="false">$C10*AS10/100</f>
        <v>0</v>
      </c>
      <c r="AU10" s="20" t="n">
        <f aca="false">$J10*AS10/100</f>
        <v>0</v>
      </c>
      <c r="AV10" s="21" t="n">
        <f aca="false">$E10*AS10/100</f>
        <v>0</v>
      </c>
    </row>
    <row r="11" customFormat="false" ht="13.8" hidden="false" customHeight="false" outlineLevel="0" collapsed="false">
      <c r="A11" s="12" t="s">
        <v>41</v>
      </c>
      <c r="B11" s="13" t="n">
        <v>30</v>
      </c>
      <c r="C11" s="13" t="n">
        <v>8</v>
      </c>
      <c r="D11" s="14" t="n">
        <f aca="false">B11*C11/100</f>
        <v>2.4</v>
      </c>
      <c r="E11" s="15" t="n">
        <f aca="false">$B$1*C11/100</f>
        <v>6400</v>
      </c>
      <c r="F11" s="15" t="n">
        <v>0</v>
      </c>
      <c r="G11" s="15" t="n">
        <f aca="false">E11-F11</f>
        <v>6400</v>
      </c>
      <c r="H11" s="15" t="n">
        <f aca="false">G11/($B$4)*2</f>
        <v>369.230769230769</v>
      </c>
      <c r="I11" s="15" t="n">
        <f aca="false">G11/($B$3)</f>
        <v>800</v>
      </c>
      <c r="J11" s="15" t="n">
        <f aca="false">F11+H11/2*$B$5</f>
        <v>1846.15384615385</v>
      </c>
      <c r="K11" s="16" t="n">
        <f aca="false">H11*(1+B11/100/52)^(52-$B$4/2)*( ( (1+B11/100/52)^($B$4/2)-1) / (B11/100/52) ) + F11*(1+B11/100/52)^(52)</f>
        <v>8191.65648364733</v>
      </c>
      <c r="L11" s="16" t="n">
        <f aca="false">I11*(1+B11/100/12)^(12-$B$3)*(((1+B11/100/12)^$B$3-1)/(B11/100/12)) + F11*(1+B11/100/12)^(12)</f>
        <v>7714.42987588151</v>
      </c>
      <c r="M11" s="2" t="n">
        <v>0</v>
      </c>
      <c r="N11" s="16" t="n">
        <f aca="false">M11*H11</f>
        <v>0</v>
      </c>
      <c r="O11" s="17" t="n">
        <v>100</v>
      </c>
      <c r="P11" s="13" t="n">
        <f aca="false">C11*O11/100</f>
        <v>8</v>
      </c>
      <c r="Q11" s="16" t="n">
        <f aca="false">J11*O11/100</f>
        <v>1846.15384615385</v>
      </c>
      <c r="R11" s="18" t="n">
        <f aca="false">$E11*O11/100</f>
        <v>6400</v>
      </c>
      <c r="S11" s="2"/>
      <c r="T11" s="17" t="n">
        <v>0</v>
      </c>
      <c r="U11" s="13" t="n">
        <f aca="false">C11*T11/100</f>
        <v>0</v>
      </c>
      <c r="V11" s="16" t="n">
        <f aca="false">J11*T11/100</f>
        <v>0</v>
      </c>
      <c r="W11" s="18" t="n">
        <f aca="false">$E11*T11/100</f>
        <v>0</v>
      </c>
      <c r="X11" s="2"/>
      <c r="Y11" s="17" t="n">
        <v>0</v>
      </c>
      <c r="Z11" s="13" t="n">
        <f aca="false">C11*Y11/100</f>
        <v>0</v>
      </c>
      <c r="AA11" s="16" t="n">
        <f aca="false">J11*Y11/100</f>
        <v>0</v>
      </c>
      <c r="AB11" s="18" t="n">
        <f aca="false">$E11*Y11/100</f>
        <v>0</v>
      </c>
      <c r="AC11" s="2"/>
      <c r="AD11" s="19" t="n">
        <v>0</v>
      </c>
      <c r="AE11" s="13" t="n">
        <f aca="false">$C11*AD11/100</f>
        <v>0</v>
      </c>
      <c r="AF11" s="16" t="n">
        <f aca="false">$J11*AD11/100</f>
        <v>0</v>
      </c>
      <c r="AG11" s="18" t="n">
        <f aca="false">$E11*AD11/100</f>
        <v>0</v>
      </c>
      <c r="AH11" s="2"/>
      <c r="AI11" s="19" t="n">
        <v>0</v>
      </c>
      <c r="AJ11" s="13" t="n">
        <f aca="false">$C11*AI11/100</f>
        <v>0</v>
      </c>
      <c r="AK11" s="16" t="n">
        <f aca="false">$J11*AI11/100</f>
        <v>0</v>
      </c>
      <c r="AL11" s="18" t="n">
        <f aca="false">$E11*AI11/100</f>
        <v>0</v>
      </c>
      <c r="AM11" s="2"/>
      <c r="AN11" s="19" t="n">
        <v>0</v>
      </c>
      <c r="AO11" s="13" t="n">
        <f aca="false">$C11*AN11/100</f>
        <v>0</v>
      </c>
      <c r="AP11" s="16" t="n">
        <f aca="false">$J11*AN11/100</f>
        <v>0</v>
      </c>
      <c r="AQ11" s="18" t="n">
        <f aca="false">$E11*AN11/100</f>
        <v>0</v>
      </c>
      <c r="AR11" s="2"/>
      <c r="AS11" s="19" t="n">
        <v>0</v>
      </c>
      <c r="AT11" s="13" t="n">
        <f aca="false">$C11*AS11/100</f>
        <v>0</v>
      </c>
      <c r="AU11" s="16" t="n">
        <f aca="false">$J11*AS11/100</f>
        <v>0</v>
      </c>
      <c r="AV11" s="18" t="n">
        <f aca="false">$E11*AS11/100</f>
        <v>0</v>
      </c>
    </row>
    <row r="12" customFormat="false" ht="13.8" hidden="false" customHeight="false" outlineLevel="0" collapsed="false">
      <c r="A12" s="12" t="s">
        <v>42</v>
      </c>
      <c r="B12" s="13" t="n">
        <v>15</v>
      </c>
      <c r="C12" s="13" t="n">
        <v>8</v>
      </c>
      <c r="D12" s="14" t="n">
        <f aca="false">B12*C12/100</f>
        <v>1.2</v>
      </c>
      <c r="E12" s="15" t="n">
        <f aca="false">$B$1*C12/100</f>
        <v>6400</v>
      </c>
      <c r="F12" s="15" t="n">
        <v>0</v>
      </c>
      <c r="G12" s="15" t="n">
        <f aca="false">E12-F12</f>
        <v>6400</v>
      </c>
      <c r="H12" s="15" t="n">
        <f aca="false">G12/($B$4)*2</f>
        <v>369.230769230769</v>
      </c>
      <c r="I12" s="15" t="n">
        <f aca="false">G12/($B$3)</f>
        <v>800</v>
      </c>
      <c r="J12" s="15" t="n">
        <f aca="false">F12+H12/2*$B$5</f>
        <v>1846.15384615385</v>
      </c>
      <c r="K12" s="16" t="n">
        <f aca="false">H12*(1+B12/100/52)^(52-$B$4/2)*( ( (1+B12/100/52)^($B$4/2)-1) / (B12/100/52) ) + F12*(1+B12/100/52)^(52)</f>
        <v>7241.15942782702</v>
      </c>
      <c r="L12" s="16" t="n">
        <f aca="false">I12*(1+B12/100/12)^(12-$B$3)*(((1+B12/100/12)^$B$3-1)/(B12/100/12)) + F12*(1+B12/100/12)^(12)</f>
        <v>7027.78757177189</v>
      </c>
      <c r="M12" s="2" t="n">
        <v>0</v>
      </c>
      <c r="N12" s="16" t="n">
        <f aca="false">M12*H12</f>
        <v>0</v>
      </c>
      <c r="O12" s="17" t="n">
        <v>24</v>
      </c>
      <c r="P12" s="13" t="n">
        <f aca="false">C12*O12/100</f>
        <v>1.92</v>
      </c>
      <c r="Q12" s="16" t="n">
        <f aca="false">J12*O12/100</f>
        <v>443.076923076923</v>
      </c>
      <c r="R12" s="18" t="n">
        <f aca="false">$E12*O12/100</f>
        <v>1536</v>
      </c>
      <c r="S12" s="2"/>
      <c r="T12" s="17" t="n">
        <v>2.3</v>
      </c>
      <c r="U12" s="13" t="n">
        <f aca="false">C12*T12/100</f>
        <v>0.184</v>
      </c>
      <c r="V12" s="16" t="n">
        <f aca="false">J12*T12/100</f>
        <v>42.4615384615385</v>
      </c>
      <c r="W12" s="18" t="n">
        <f aca="false">$E12*T12/100</f>
        <v>147.2</v>
      </c>
      <c r="X12" s="2"/>
      <c r="Y12" s="17" t="n">
        <v>0.1</v>
      </c>
      <c r="Z12" s="13" t="n">
        <f aca="false">C12*Y12/100</f>
        <v>0.008</v>
      </c>
      <c r="AA12" s="16" t="n">
        <f aca="false">J12*Y12/100</f>
        <v>1.84615384615385</v>
      </c>
      <c r="AB12" s="18" t="n">
        <f aca="false">$E12*Y12/100</f>
        <v>6.4</v>
      </c>
      <c r="AC12" s="2"/>
      <c r="AD12" s="19" t="n">
        <v>12</v>
      </c>
      <c r="AE12" s="13" t="n">
        <f aca="false">$C12*AD12/100</f>
        <v>0.96</v>
      </c>
      <c r="AF12" s="16" t="n">
        <f aca="false">$J12*AD12/100</f>
        <v>221.538461538462</v>
      </c>
      <c r="AG12" s="18" t="n">
        <f aca="false">$E12*AD12/100</f>
        <v>768</v>
      </c>
      <c r="AH12" s="2"/>
      <c r="AI12" s="19" t="n">
        <v>13.2</v>
      </c>
      <c r="AJ12" s="13" t="n">
        <f aca="false">$C12*AI12/100</f>
        <v>1.056</v>
      </c>
      <c r="AK12" s="16" t="n">
        <f aca="false">$J12*AI12/100</f>
        <v>243.692307692308</v>
      </c>
      <c r="AL12" s="18" t="n">
        <f aca="false">$E12*AI12/100</f>
        <v>844.8</v>
      </c>
      <c r="AM12" s="2"/>
      <c r="AN12" s="19" t="n">
        <v>9</v>
      </c>
      <c r="AO12" s="13" t="n">
        <f aca="false">$C12*AN12/100</f>
        <v>0.72</v>
      </c>
      <c r="AP12" s="16" t="n">
        <f aca="false">$J12*AN12/100</f>
        <v>166.153846153846</v>
      </c>
      <c r="AQ12" s="18" t="n">
        <f aca="false">$E12*AN12/100</f>
        <v>576</v>
      </c>
      <c r="AR12" s="2"/>
      <c r="AS12" s="19" t="n">
        <v>0</v>
      </c>
      <c r="AT12" s="13" t="n">
        <f aca="false">$C12*AS12/100</f>
        <v>0</v>
      </c>
      <c r="AU12" s="16" t="n">
        <f aca="false">$J12*AS12/100</f>
        <v>0</v>
      </c>
      <c r="AV12" s="18" t="n">
        <f aca="false">$E12*AS12/100</f>
        <v>0</v>
      </c>
    </row>
    <row r="13" customFormat="false" ht="13.8" hidden="false" customHeight="false" outlineLevel="0" collapsed="false">
      <c r="A13" s="12" t="s">
        <v>43</v>
      </c>
      <c r="B13" s="13" t="n">
        <v>15</v>
      </c>
      <c r="C13" s="13" t="n">
        <v>10</v>
      </c>
      <c r="D13" s="14" t="n">
        <f aca="false">B13*C13/100</f>
        <v>1.5</v>
      </c>
      <c r="E13" s="15" t="n">
        <f aca="false">$B$1*C13/100</f>
        <v>8000</v>
      </c>
      <c r="F13" s="15" t="n">
        <v>0</v>
      </c>
      <c r="G13" s="15" t="n">
        <f aca="false">E13-F13</f>
        <v>8000</v>
      </c>
      <c r="H13" s="15" t="n">
        <f aca="false">G13/($B$4)*2</f>
        <v>461.538461538462</v>
      </c>
      <c r="I13" s="15" t="n">
        <f aca="false">G13/($B$3)</f>
        <v>1000</v>
      </c>
      <c r="J13" s="15" t="n">
        <f aca="false">F13+H13/2*$B$5</f>
        <v>2307.69230769231</v>
      </c>
      <c r="K13" s="16" t="n">
        <f aca="false">H13*(1+B13/100/52)^(52-$B$4/2)*( ( (1+B13/100/52)^($B$4/2)-1) / (B13/100/52) ) + F13*(1+B13/100/52)^(52)</f>
        <v>9051.44928478378</v>
      </c>
      <c r="L13" s="16" t="n">
        <f aca="false">I13*(1+B13/100/12)^(12-$B$3)*(((1+B13/100/12)^$B$3-1)/(B13/100/12)) + F13*(1+B13/100/12)^(12)</f>
        <v>8784.73446471487</v>
      </c>
      <c r="M13" s="2" t="n">
        <v>0</v>
      </c>
      <c r="N13" s="16" t="n">
        <f aca="false">M13*H13</f>
        <v>0</v>
      </c>
      <c r="O13" s="17" t="n">
        <v>22.5</v>
      </c>
      <c r="P13" s="13" t="n">
        <f aca="false">C13*O13/100</f>
        <v>2.25</v>
      </c>
      <c r="Q13" s="16" t="n">
        <f aca="false">J13*O13/100</f>
        <v>519.230769230769</v>
      </c>
      <c r="R13" s="18" t="n">
        <f aca="false">$E13*O13/100</f>
        <v>1800</v>
      </c>
      <c r="S13" s="2"/>
      <c r="T13" s="17" t="n">
        <v>2.71</v>
      </c>
      <c r="U13" s="13" t="n">
        <f aca="false">C13*T13/100</f>
        <v>0.271</v>
      </c>
      <c r="V13" s="16" t="n">
        <f aca="false">J13*T13/100</f>
        <v>62.5384615384615</v>
      </c>
      <c r="W13" s="18" t="n">
        <f aca="false">$E13*T13/100</f>
        <v>216.8</v>
      </c>
      <c r="X13" s="2"/>
      <c r="Y13" s="17" t="n">
        <v>0</v>
      </c>
      <c r="Z13" s="13" t="n">
        <f aca="false">C13*Y13/100</f>
        <v>0</v>
      </c>
      <c r="AA13" s="16" t="n">
        <f aca="false">J13*Y13/100</f>
        <v>0</v>
      </c>
      <c r="AB13" s="18" t="n">
        <f aca="false">$E13*Y13/100</f>
        <v>0</v>
      </c>
      <c r="AC13" s="2"/>
      <c r="AD13" s="19" t="n">
        <v>12.61</v>
      </c>
      <c r="AE13" s="13" t="n">
        <f aca="false">$C13*AD13/100</f>
        <v>1.261</v>
      </c>
      <c r="AF13" s="16" t="n">
        <f aca="false">$J13*AD13/100</f>
        <v>291</v>
      </c>
      <c r="AG13" s="18" t="n">
        <f aca="false">$E13*AD13/100</f>
        <v>1008.8</v>
      </c>
      <c r="AH13" s="2"/>
      <c r="AI13" s="19" t="n">
        <v>14</v>
      </c>
      <c r="AJ13" s="13" t="n">
        <f aca="false">$C13*AI13/100</f>
        <v>1.4</v>
      </c>
      <c r="AK13" s="16" t="n">
        <f aca="false">$J13*AI13/100</f>
        <v>323.076923076923</v>
      </c>
      <c r="AL13" s="18" t="n">
        <f aca="false">$E13*AI13/100</f>
        <v>1120</v>
      </c>
      <c r="AM13" s="2"/>
      <c r="AN13" s="19" t="n">
        <v>8</v>
      </c>
      <c r="AO13" s="13" t="n">
        <f aca="false">$C13*AN13/100</f>
        <v>0.8</v>
      </c>
      <c r="AP13" s="16" t="n">
        <f aca="false">$J13*AN13/100</f>
        <v>184.615384615385</v>
      </c>
      <c r="AQ13" s="18" t="n">
        <f aca="false">$E13*AN13/100</f>
        <v>640</v>
      </c>
      <c r="AR13" s="2"/>
      <c r="AS13" s="19" t="n">
        <v>0</v>
      </c>
      <c r="AT13" s="13" t="n">
        <f aca="false">$C13*AS13/100</f>
        <v>0</v>
      </c>
      <c r="AU13" s="16" t="n">
        <f aca="false">$J13*AS13/100</f>
        <v>0</v>
      </c>
      <c r="AV13" s="18" t="n">
        <f aca="false">$E13*AS13/100</f>
        <v>0</v>
      </c>
    </row>
    <row r="14" customFormat="false" ht="13.8" hidden="false" customHeight="false" outlineLevel="0" collapsed="false">
      <c r="A14" s="12" t="s">
        <v>44</v>
      </c>
      <c r="B14" s="13" t="n">
        <v>15</v>
      </c>
      <c r="C14" s="13" t="n">
        <v>10</v>
      </c>
      <c r="D14" s="14" t="n">
        <f aca="false">B14*C14/100</f>
        <v>1.5</v>
      </c>
      <c r="E14" s="15" t="n">
        <f aca="false">$B$1*C14/100</f>
        <v>8000</v>
      </c>
      <c r="F14" s="15" t="n">
        <v>0</v>
      </c>
      <c r="G14" s="15" t="n">
        <f aca="false">E14-F14</f>
        <v>8000</v>
      </c>
      <c r="H14" s="15" t="n">
        <f aca="false">G14/($B$4)*2</f>
        <v>461.538461538462</v>
      </c>
      <c r="I14" s="15" t="n">
        <f aca="false">G14/($B$3)</f>
        <v>1000</v>
      </c>
      <c r="J14" s="15" t="n">
        <f aca="false">F14+H14/2*$B$5</f>
        <v>2307.69230769231</v>
      </c>
      <c r="K14" s="16" t="n">
        <f aca="false">H14*(1+B14/100/52)^(52-$B$4/2)*( ( (1+B14/100/52)^($B$4/2)-1) / (B14/100/52) ) + F14*(1+B14/100/52)^(52)</f>
        <v>9051.44928478378</v>
      </c>
      <c r="L14" s="16" t="n">
        <f aca="false">I14*(1+B14/100/12)^(12-$B$3)*(((1+B14/100/12)^$B$3-1)/(B14/100/12)) + F14*(1+B14/100/12)^(12)</f>
        <v>8784.73446471487</v>
      </c>
      <c r="M14" s="2" t="n">
        <v>0</v>
      </c>
      <c r="N14" s="16" t="n">
        <f aca="false">M14*H14</f>
        <v>0</v>
      </c>
      <c r="O14" s="17" t="n">
        <v>15.1</v>
      </c>
      <c r="P14" s="13" t="n">
        <f aca="false">C14*O14/100</f>
        <v>1.51</v>
      </c>
      <c r="Q14" s="16" t="n">
        <f aca="false">J14*O14/100</f>
        <v>348.461538461538</v>
      </c>
      <c r="R14" s="18" t="n">
        <f aca="false">$E14*O14/100</f>
        <v>1208</v>
      </c>
      <c r="S14" s="2"/>
      <c r="T14" s="17" t="n">
        <v>0</v>
      </c>
      <c r="U14" s="13" t="n">
        <f aca="false">C14*T14/100</f>
        <v>0</v>
      </c>
      <c r="V14" s="16" t="n">
        <f aca="false">J14*T14/100</f>
        <v>0</v>
      </c>
      <c r="W14" s="18" t="n">
        <f aca="false">$E14*T14/100</f>
        <v>0</v>
      </c>
      <c r="X14" s="2"/>
      <c r="Y14" s="17" t="n">
        <v>0</v>
      </c>
      <c r="Z14" s="13" t="n">
        <f aca="false">C14*Y14/100</f>
        <v>0</v>
      </c>
      <c r="AA14" s="16" t="n">
        <f aca="false">J14*Y14/100</f>
        <v>0</v>
      </c>
      <c r="AB14" s="18" t="n">
        <f aca="false">$E14*Y14/100</f>
        <v>0</v>
      </c>
      <c r="AC14" s="2"/>
      <c r="AD14" s="19" t="n">
        <v>7.9</v>
      </c>
      <c r="AE14" s="13" t="n">
        <f aca="false">$C14*AD14/100</f>
        <v>0.79</v>
      </c>
      <c r="AF14" s="16" t="n">
        <f aca="false">$J14*AD14/100</f>
        <v>182.307692307692</v>
      </c>
      <c r="AG14" s="18" t="n">
        <f aca="false">$E14*AD14/100</f>
        <v>632</v>
      </c>
      <c r="AH14" s="2"/>
      <c r="AI14" s="19" t="n">
        <v>5.7</v>
      </c>
      <c r="AJ14" s="13" t="n">
        <f aca="false">$C14*AI14/100</f>
        <v>0.57</v>
      </c>
      <c r="AK14" s="16" t="n">
        <f aca="false">$J14*AI14/100</f>
        <v>131.538461538462</v>
      </c>
      <c r="AL14" s="18" t="n">
        <f aca="false">$E14*AI14/100</f>
        <v>456</v>
      </c>
      <c r="AM14" s="2"/>
      <c r="AN14" s="19" t="n">
        <v>0</v>
      </c>
      <c r="AO14" s="13" t="n">
        <f aca="false">$C14*AN14/100</f>
        <v>0</v>
      </c>
      <c r="AP14" s="16" t="n">
        <f aca="false">$J14*AN14/100</f>
        <v>0</v>
      </c>
      <c r="AQ14" s="18" t="n">
        <f aca="false">$E14*AN14/100</f>
        <v>0</v>
      </c>
      <c r="AR14" s="2"/>
      <c r="AS14" s="19" t="n">
        <v>0</v>
      </c>
      <c r="AT14" s="13" t="n">
        <f aca="false">$C14*AS14/100</f>
        <v>0</v>
      </c>
      <c r="AU14" s="16" t="n">
        <f aca="false">$J14*AS14/100</f>
        <v>0</v>
      </c>
      <c r="AV14" s="18" t="n">
        <f aca="false">$E14*AS14/100</f>
        <v>0</v>
      </c>
    </row>
    <row r="15" customFormat="false" ht="13.8" hidden="false" customHeight="false" outlineLevel="0" collapsed="false">
      <c r="A15" s="12" t="s">
        <v>45</v>
      </c>
      <c r="B15" s="13" t="n">
        <v>13</v>
      </c>
      <c r="C15" s="13" t="n">
        <v>8</v>
      </c>
      <c r="D15" s="14" t="n">
        <f aca="false">B15*C15/100</f>
        <v>1.04</v>
      </c>
      <c r="E15" s="15" t="n">
        <f aca="false">$B$1*C15/100</f>
        <v>6400</v>
      </c>
      <c r="F15" s="15" t="n">
        <v>0</v>
      </c>
      <c r="G15" s="15" t="n">
        <f aca="false">E15-F15</f>
        <v>6400</v>
      </c>
      <c r="H15" s="15" t="n">
        <f aca="false">G15/($B$4)*2</f>
        <v>369.230769230769</v>
      </c>
      <c r="I15" s="15" t="n">
        <f aca="false">G15/($B$3)</f>
        <v>800</v>
      </c>
      <c r="J15" s="15" t="n">
        <f aca="false">F15+H15/2*$B$5</f>
        <v>1846.15384615385</v>
      </c>
      <c r="K15" s="16" t="n">
        <f aca="false">H15*(1+B15/100/52)^(52-$B$4/2)*( ( (1+B15/100/52)^($B$4/2)-1) / (B15/100/52) ) + F15*(1+B15/100/52)^(52)</f>
        <v>7122.9750112044</v>
      </c>
      <c r="L15" s="16" t="n">
        <f aca="false">I15*(1+B15/100/12)^(12-$B$3)*(((1+B15/100/12)^$B$3-1)/(B15/100/12)) + F15*(1+B15/100/12)^(12)</f>
        <v>6940.79130033961</v>
      </c>
      <c r="M15" s="2" t="n">
        <v>0</v>
      </c>
      <c r="N15" s="16" t="n">
        <f aca="false">M15*H15</f>
        <v>0</v>
      </c>
      <c r="O15" s="17" t="n">
        <v>13.9</v>
      </c>
      <c r="P15" s="13" t="n">
        <f aca="false">C15*O15/100</f>
        <v>1.112</v>
      </c>
      <c r="Q15" s="16" t="n">
        <f aca="false">J15*O15/100</f>
        <v>256.615384615385</v>
      </c>
      <c r="R15" s="18" t="n">
        <f aca="false">$E15*O15/100</f>
        <v>889.6</v>
      </c>
      <c r="S15" s="2"/>
      <c r="T15" s="17" t="n">
        <v>3.44</v>
      </c>
      <c r="U15" s="13" t="n">
        <f aca="false">C15*T15/100</f>
        <v>0.2752</v>
      </c>
      <c r="V15" s="16" t="n">
        <f aca="false">J15*T15/100</f>
        <v>63.5076923076923</v>
      </c>
      <c r="W15" s="18" t="n">
        <f aca="false">$E15*T15/100</f>
        <v>220.16</v>
      </c>
      <c r="X15" s="2"/>
      <c r="Y15" s="17" t="n">
        <v>0</v>
      </c>
      <c r="Z15" s="13" t="n">
        <f aca="false">C15*Y15/100</f>
        <v>0</v>
      </c>
      <c r="AA15" s="16" t="n">
        <f aca="false">J15*Y15/100</f>
        <v>0</v>
      </c>
      <c r="AB15" s="18" t="n">
        <f aca="false">$E15*Y15/100</f>
        <v>0</v>
      </c>
      <c r="AC15" s="2"/>
      <c r="AD15" s="19" t="n">
        <v>9.36</v>
      </c>
      <c r="AE15" s="13" t="n">
        <f aca="false">$C15*AD15/100</f>
        <v>0.7488</v>
      </c>
      <c r="AF15" s="16" t="n">
        <f aca="false">$J15*AD15/100</f>
        <v>172.8</v>
      </c>
      <c r="AG15" s="18" t="n">
        <f aca="false">$E15*AD15/100</f>
        <v>599.04</v>
      </c>
      <c r="AH15" s="2"/>
      <c r="AI15" s="19" t="n">
        <v>10.28</v>
      </c>
      <c r="AJ15" s="13" t="n">
        <f aca="false">$C15*AI15/100</f>
        <v>0.8224</v>
      </c>
      <c r="AK15" s="16" t="n">
        <f aca="false">$J15*AI15/100</f>
        <v>189.784615384615</v>
      </c>
      <c r="AL15" s="18" t="n">
        <f aca="false">$E15*AI15/100</f>
        <v>657.92</v>
      </c>
      <c r="AM15" s="2"/>
      <c r="AN15" s="19" t="n">
        <v>8.2</v>
      </c>
      <c r="AO15" s="13" t="n">
        <f aca="false">$C15*AN15/100</f>
        <v>0.656</v>
      </c>
      <c r="AP15" s="16" t="n">
        <f aca="false">$J15*AN15/100</f>
        <v>151.384615384615</v>
      </c>
      <c r="AQ15" s="18" t="n">
        <f aca="false">$E15*AN15/100</f>
        <v>524.8</v>
      </c>
      <c r="AR15" s="2"/>
      <c r="AS15" s="19" t="n">
        <v>0</v>
      </c>
      <c r="AT15" s="13" t="n">
        <f aca="false">$C15*AS15/100</f>
        <v>0</v>
      </c>
      <c r="AU15" s="16" t="n">
        <f aca="false">$J15*AS15/100</f>
        <v>0</v>
      </c>
      <c r="AV15" s="18" t="n">
        <f aca="false">$E15*AS15/100</f>
        <v>0</v>
      </c>
    </row>
    <row r="16" customFormat="false" ht="13.8" hidden="false" customHeight="false" outlineLevel="0" collapsed="false">
      <c r="A16" s="12" t="s">
        <v>46</v>
      </c>
      <c r="B16" s="13" t="n">
        <v>10</v>
      </c>
      <c r="C16" s="13" t="n">
        <v>5</v>
      </c>
      <c r="D16" s="14" t="n">
        <f aca="false">B16*C16/100</f>
        <v>0.5</v>
      </c>
      <c r="E16" s="15" t="n">
        <f aca="false">$B$1*C16/100</f>
        <v>4000</v>
      </c>
      <c r="F16" s="15" t="n">
        <v>0</v>
      </c>
      <c r="G16" s="15" t="n">
        <f aca="false">E16-F16</f>
        <v>4000</v>
      </c>
      <c r="H16" s="15" t="n">
        <f aca="false">G16/($B$4)*2</f>
        <v>230.769230769231</v>
      </c>
      <c r="I16" s="15" t="n">
        <f aca="false">G16/($B$3)</f>
        <v>500</v>
      </c>
      <c r="J16" s="15" t="n">
        <f aca="false">F16+H16/2*$B$5</f>
        <v>1153.84615384615</v>
      </c>
      <c r="K16" s="16" t="n">
        <f aca="false">H16*(1+B16/100/52)^(52-$B$4/2)*( ( (1+B16/100/52)^($B$4/2)-1) / (B16/100/52) ) + F16*(1+B16/100/52)^(52)</f>
        <v>4343.29426291835</v>
      </c>
      <c r="L16" s="16" t="n">
        <f aca="false">I16*(1+B16/100/12)^(12-$B$3)*(((1+B16/100/12)^$B$3-1)/(B16/100/12)) + F16*(1+B16/100/12)^(12)</f>
        <v>4257.64486823708</v>
      </c>
      <c r="M16" s="2" t="n">
        <v>0</v>
      </c>
      <c r="N16" s="16" t="n">
        <f aca="false">M16*H16</f>
        <v>0</v>
      </c>
      <c r="O16" s="17" t="n">
        <v>22.4</v>
      </c>
      <c r="P16" s="13" t="n">
        <f aca="false">C16*O16/100</f>
        <v>1.12</v>
      </c>
      <c r="Q16" s="16" t="n">
        <f aca="false">J16*O16/100</f>
        <v>258.461538461538</v>
      </c>
      <c r="R16" s="18" t="n">
        <f aca="false">$E16*O16/100</f>
        <v>896</v>
      </c>
      <c r="S16" s="2"/>
      <c r="T16" s="17" t="n">
        <v>2.71</v>
      </c>
      <c r="U16" s="13" t="n">
        <f aca="false">C16*T16/100</f>
        <v>0.1355</v>
      </c>
      <c r="V16" s="16" t="n">
        <f aca="false">J16*T16/100</f>
        <v>31.2692307692308</v>
      </c>
      <c r="W16" s="18" t="n">
        <f aca="false">$E16*T16/100</f>
        <v>108.4</v>
      </c>
      <c r="X16" s="2"/>
      <c r="Y16" s="17" t="n">
        <v>0</v>
      </c>
      <c r="Z16" s="13" t="n">
        <f aca="false">C16*Y16/100</f>
        <v>0</v>
      </c>
      <c r="AA16" s="16" t="n">
        <f aca="false">J16*Y16/100</f>
        <v>0</v>
      </c>
      <c r="AB16" s="18" t="n">
        <f aca="false">$E16*Y16/100</f>
        <v>0</v>
      </c>
      <c r="AC16" s="2"/>
      <c r="AD16" s="19" t="n">
        <v>12.6</v>
      </c>
      <c r="AE16" s="13" t="n">
        <f aca="false">$C16*AD16/100</f>
        <v>0.63</v>
      </c>
      <c r="AF16" s="16" t="n">
        <f aca="false">$J16*AD16/100</f>
        <v>145.384615384615</v>
      </c>
      <c r="AG16" s="18" t="n">
        <f aca="false">$E16*AD16/100</f>
        <v>504</v>
      </c>
      <c r="AH16" s="2"/>
      <c r="AI16" s="19" t="n">
        <v>14</v>
      </c>
      <c r="AJ16" s="13" t="n">
        <f aca="false">$C16*AI16/100</f>
        <v>0.7</v>
      </c>
      <c r="AK16" s="16" t="n">
        <f aca="false">$J16*AI16/100</f>
        <v>161.538461538462</v>
      </c>
      <c r="AL16" s="18" t="n">
        <f aca="false">$E16*AI16/100</f>
        <v>560</v>
      </c>
      <c r="AM16" s="2"/>
      <c r="AN16" s="19" t="n">
        <v>8</v>
      </c>
      <c r="AO16" s="13" t="n">
        <f aca="false">$C16*AN16/100</f>
        <v>0.4</v>
      </c>
      <c r="AP16" s="16" t="n">
        <f aca="false">$J16*AN16/100</f>
        <v>92.3076923076923</v>
      </c>
      <c r="AQ16" s="18" t="n">
        <f aca="false">$E16*AN16/100</f>
        <v>320</v>
      </c>
      <c r="AR16" s="2"/>
      <c r="AS16" s="19" t="n">
        <v>0</v>
      </c>
      <c r="AT16" s="13" t="n">
        <f aca="false">$C16*AS16/100</f>
        <v>0</v>
      </c>
      <c r="AU16" s="16" t="n">
        <f aca="false">$J16*AS16/100</f>
        <v>0</v>
      </c>
      <c r="AV16" s="18" t="n">
        <f aca="false">$E16*AS16/100</f>
        <v>0</v>
      </c>
    </row>
    <row r="17" customFormat="false" ht="13.8" hidden="false" customHeight="false" outlineLevel="0" collapsed="false">
      <c r="A17" s="12" t="s">
        <v>47</v>
      </c>
      <c r="B17" s="13" t="n">
        <v>14</v>
      </c>
      <c r="C17" s="13" t="n">
        <v>7</v>
      </c>
      <c r="D17" s="14" t="n">
        <f aca="false">B17*C17/100</f>
        <v>0.98</v>
      </c>
      <c r="E17" s="15" t="n">
        <f aca="false">$B$1*C17/100</f>
        <v>5600</v>
      </c>
      <c r="F17" s="15" t="n">
        <v>0</v>
      </c>
      <c r="G17" s="15" t="n">
        <f aca="false">E17-F17</f>
        <v>5600</v>
      </c>
      <c r="H17" s="15" t="n">
        <f aca="false">G17/($B$4)*2</f>
        <v>323.076923076923</v>
      </c>
      <c r="I17" s="15" t="n">
        <f aca="false">G17/($B$3)</f>
        <v>700</v>
      </c>
      <c r="J17" s="15" t="n">
        <f aca="false">F17+H17/2*$B$5</f>
        <v>1615.38461538462</v>
      </c>
      <c r="K17" s="16" t="n">
        <f aca="false">H17*(1+B17/100/52)^(52-$B$4/2)*( ( (1+B17/100/52)^($B$4/2)-1) / (B17/100/52) ) + F17*(1+B17/100/52)^(52)</f>
        <v>6284.09817746553</v>
      </c>
      <c r="L17" s="16" t="n">
        <f aca="false">I17*(1+B17/100/12)^(12-$B$3)*(((1+B17/100/12)^$B$3-1)/(B17/100/12)) + F17*(1+B17/100/12)^(12)</f>
        <v>6111.13952974426</v>
      </c>
      <c r="M17" s="2" t="n">
        <v>0</v>
      </c>
      <c r="N17" s="16" t="n">
        <f aca="false">M17*H17</f>
        <v>0</v>
      </c>
      <c r="O17" s="17" t="n">
        <v>0</v>
      </c>
      <c r="P17" s="13" t="n">
        <f aca="false">C17*O17/100</f>
        <v>0</v>
      </c>
      <c r="Q17" s="16" t="n">
        <f aca="false">J17*O17/100</f>
        <v>0</v>
      </c>
      <c r="R17" s="18" t="n">
        <f aca="false">$E17*O17/100</f>
        <v>0</v>
      </c>
      <c r="S17" s="2"/>
      <c r="T17" s="17" t="n">
        <v>100</v>
      </c>
      <c r="U17" s="13" t="n">
        <f aca="false">C17*T17/100</f>
        <v>7</v>
      </c>
      <c r="V17" s="16" t="n">
        <f aca="false">J17*T17/100</f>
        <v>1615.38461538462</v>
      </c>
      <c r="W17" s="18" t="n">
        <f aca="false">$E17*T17/100</f>
        <v>5600</v>
      </c>
      <c r="X17" s="2"/>
      <c r="Y17" s="17" t="n">
        <v>1.84</v>
      </c>
      <c r="Z17" s="13" t="n">
        <f aca="false">C17*Y17/100</f>
        <v>0.1288</v>
      </c>
      <c r="AA17" s="16" t="n">
        <f aca="false">J17*Y17/100</f>
        <v>29.7230769230769</v>
      </c>
      <c r="AB17" s="18" t="n">
        <f aca="false">$E17*Y17/100</f>
        <v>103.04</v>
      </c>
      <c r="AC17" s="2"/>
      <c r="AD17" s="19" t="n">
        <v>0</v>
      </c>
      <c r="AE17" s="13" t="n">
        <f aca="false">$C17*AD17/100</f>
        <v>0</v>
      </c>
      <c r="AF17" s="16" t="n">
        <f aca="false">$J17*AD17/100</f>
        <v>0</v>
      </c>
      <c r="AG17" s="18" t="n">
        <f aca="false">$E17*AD17/100</f>
        <v>0</v>
      </c>
      <c r="AH17" s="2"/>
      <c r="AI17" s="19" t="n">
        <v>0</v>
      </c>
      <c r="AJ17" s="13" t="n">
        <f aca="false">$C17*AI17/100</f>
        <v>0</v>
      </c>
      <c r="AK17" s="16" t="n">
        <f aca="false">$J17*AI17/100</f>
        <v>0</v>
      </c>
      <c r="AL17" s="18" t="n">
        <f aca="false">$E17*AI17/100</f>
        <v>0</v>
      </c>
      <c r="AM17" s="2"/>
      <c r="AN17" s="19" t="n">
        <v>0</v>
      </c>
      <c r="AO17" s="13" t="n">
        <f aca="false">$C17*AN17/100</f>
        <v>0</v>
      </c>
      <c r="AP17" s="16" t="n">
        <f aca="false">$J17*AN17/100</f>
        <v>0</v>
      </c>
      <c r="AQ17" s="18" t="n">
        <f aca="false">$E17*AN17/100</f>
        <v>0</v>
      </c>
      <c r="AR17" s="2"/>
      <c r="AS17" s="19" t="n">
        <v>0</v>
      </c>
      <c r="AT17" s="13" t="n">
        <f aca="false">$C17*AS17/100</f>
        <v>0</v>
      </c>
      <c r="AU17" s="16" t="n">
        <f aca="false">$J17*AS17/100</f>
        <v>0</v>
      </c>
      <c r="AV17" s="18" t="n">
        <f aca="false">$E17*AS17/100</f>
        <v>0</v>
      </c>
    </row>
    <row r="18" customFormat="false" ht="13.8" hidden="false" customHeight="false" outlineLevel="0" collapsed="false">
      <c r="A18" s="12" t="s">
        <v>48</v>
      </c>
      <c r="B18" s="13" t="n">
        <v>10</v>
      </c>
      <c r="C18" s="13" t="n">
        <v>7</v>
      </c>
      <c r="D18" s="14" t="n">
        <f aca="false">B18*C18/100</f>
        <v>0.7</v>
      </c>
      <c r="E18" s="15" t="n">
        <f aca="false">$B$1*C18/100</f>
        <v>5600</v>
      </c>
      <c r="F18" s="15" t="n">
        <v>0</v>
      </c>
      <c r="G18" s="15" t="n">
        <f aca="false">E18-F18</f>
        <v>5600</v>
      </c>
      <c r="H18" s="15" t="n">
        <f aca="false">G18/($B$4)*2</f>
        <v>323.076923076923</v>
      </c>
      <c r="I18" s="15" t="n">
        <f aca="false">G18/($B$3)</f>
        <v>700</v>
      </c>
      <c r="J18" s="15" t="n">
        <f aca="false">F18+H18/2*$B$5</f>
        <v>1615.38461538462</v>
      </c>
      <c r="K18" s="16" t="n">
        <f aca="false">H18*(1+B18/100/52)^(52-$B$4/2)*( ( (1+B18/100/52)^($B$4/2)-1) / (B18/100/52) ) + F18*(1+B18/100/52)^(52)</f>
        <v>6080.61196808569</v>
      </c>
      <c r="L18" s="16" t="n">
        <f aca="false">I18*(1+B18/100/12)^(12-$B$3)*(((1+B18/100/12)^$B$3-1)/(B18/100/12)) + F18*(1+B18/100/12)^(12)</f>
        <v>5960.7028155319</v>
      </c>
      <c r="M18" s="2" t="n">
        <v>0</v>
      </c>
      <c r="N18" s="16" t="n">
        <f aca="false">M18*H18</f>
        <v>0</v>
      </c>
      <c r="O18" s="17" t="n">
        <v>0</v>
      </c>
      <c r="P18" s="13" t="n">
        <f aca="false">C18*O18/100</f>
        <v>0</v>
      </c>
      <c r="Q18" s="16" t="n">
        <f aca="false">J18*O18/100</f>
        <v>0</v>
      </c>
      <c r="R18" s="18" t="n">
        <f aca="false">$E18*O18/100</f>
        <v>0</v>
      </c>
      <c r="S18" s="2"/>
      <c r="T18" s="17" t="n">
        <v>0</v>
      </c>
      <c r="U18" s="13" t="n">
        <f aca="false">C18*T18/100</f>
        <v>0</v>
      </c>
      <c r="V18" s="16" t="n">
        <f aca="false">J18*T18/100</f>
        <v>0</v>
      </c>
      <c r="W18" s="18" t="n">
        <f aca="false">$E18*T18/100</f>
        <v>0</v>
      </c>
      <c r="X18" s="2"/>
      <c r="Y18" s="17" t="n">
        <v>0</v>
      </c>
      <c r="Z18" s="13" t="n">
        <f aca="false">C18*Y18/100</f>
        <v>0</v>
      </c>
      <c r="AA18" s="16" t="n">
        <f aca="false">J18*Y18/100</f>
        <v>0</v>
      </c>
      <c r="AB18" s="18" t="n">
        <f aca="false">$E18*Y18/100</f>
        <v>0</v>
      </c>
      <c r="AC18" s="2"/>
      <c r="AD18" s="19" t="n">
        <v>0</v>
      </c>
      <c r="AE18" s="13" t="n">
        <f aca="false">$C18*AD18/100</f>
        <v>0</v>
      </c>
      <c r="AF18" s="16" t="n">
        <f aca="false">$J18*AD18/100</f>
        <v>0</v>
      </c>
      <c r="AG18" s="18" t="n">
        <f aca="false">$E18*AD18/100</f>
        <v>0</v>
      </c>
      <c r="AH18" s="2"/>
      <c r="AI18" s="19" t="n">
        <v>0</v>
      </c>
      <c r="AJ18" s="13" t="n">
        <f aca="false">$C18*AI18/100</f>
        <v>0</v>
      </c>
      <c r="AK18" s="16" t="n">
        <f aca="false">$J18*AI18/100</f>
        <v>0</v>
      </c>
      <c r="AL18" s="18" t="n">
        <f aca="false">$E18*AI18/100</f>
        <v>0</v>
      </c>
      <c r="AM18" s="2"/>
      <c r="AN18" s="19" t="n">
        <v>0</v>
      </c>
      <c r="AO18" s="13" t="n">
        <f aca="false">$C18*AN18/100</f>
        <v>0</v>
      </c>
      <c r="AP18" s="16" t="n">
        <f aca="false">$J18*AN18/100</f>
        <v>0</v>
      </c>
      <c r="AQ18" s="18" t="n">
        <f aca="false">$E18*AN18/100</f>
        <v>0</v>
      </c>
      <c r="AR18" s="2"/>
      <c r="AS18" s="19" t="n">
        <v>100</v>
      </c>
      <c r="AT18" s="13" t="n">
        <f aca="false">$C18*AS18/100</f>
        <v>7</v>
      </c>
      <c r="AU18" s="16" t="n">
        <f aca="false">$J18*AS18/100</f>
        <v>1615.38461538462</v>
      </c>
      <c r="AV18" s="18" t="n">
        <f aca="false">$E18*AS18/100</f>
        <v>5600</v>
      </c>
    </row>
    <row r="19" customFormat="false" ht="13.8" hidden="false" customHeight="false" outlineLevel="0" collapsed="false">
      <c r="A19" s="12" t="s">
        <v>49</v>
      </c>
      <c r="B19" s="13" t="n">
        <v>8</v>
      </c>
      <c r="C19" s="13" t="n">
        <v>6</v>
      </c>
      <c r="D19" s="14" t="n">
        <f aca="false">B19*C19/100</f>
        <v>0.48</v>
      </c>
      <c r="E19" s="15" t="n">
        <f aca="false">$B$1*C19/100</f>
        <v>4800</v>
      </c>
      <c r="F19" s="15" t="n">
        <v>0</v>
      </c>
      <c r="G19" s="15" t="n">
        <f aca="false">E19-F19</f>
        <v>4800</v>
      </c>
      <c r="H19" s="15" t="n">
        <f aca="false">G19/($B$4)*2</f>
        <v>276.923076923077</v>
      </c>
      <c r="I19" s="15" t="n">
        <f aca="false">G19/($B$3)</f>
        <v>600</v>
      </c>
      <c r="J19" s="15" t="n">
        <f aca="false">F19+H19/2*$B$5</f>
        <v>1384.61538461538</v>
      </c>
      <c r="K19" s="16" t="n">
        <f aca="false">H19*(1+B19/100/52)^(52-$B$4/2)*( ( (1+B19/100/52)^($B$4/2)-1) / (B19/100/52) ) + F19*(1+B19/100/52)^(52)</f>
        <v>5126.85392396341</v>
      </c>
      <c r="L19" s="16" t="n">
        <f aca="false">I19*(1+B19/100/12)^(12-$B$3)*(((1+B19/100/12)^$B$3-1)/(B19/100/12)) + F19*(1+B19/100/12)^(12)</f>
        <v>5045.84876823146</v>
      </c>
      <c r="M19" s="2" t="n">
        <v>0</v>
      </c>
      <c r="N19" s="16" t="n">
        <f aca="false">M19*H19</f>
        <v>0</v>
      </c>
      <c r="O19" s="17" t="n">
        <v>0</v>
      </c>
      <c r="P19" s="13" t="n">
        <f aca="false">C19*O19/100</f>
        <v>0</v>
      </c>
      <c r="Q19" s="16" t="n">
        <f aca="false">J19*O19/100</f>
        <v>0</v>
      </c>
      <c r="R19" s="18" t="n">
        <f aca="false">$E19*O19/100</f>
        <v>0</v>
      </c>
      <c r="S19" s="2"/>
      <c r="T19" s="17" t="n">
        <v>0</v>
      </c>
      <c r="U19" s="13" t="n">
        <f aca="false">C19*T19/100</f>
        <v>0</v>
      </c>
      <c r="V19" s="16" t="n">
        <f aca="false">J19*T19/100</f>
        <v>0</v>
      </c>
      <c r="W19" s="18" t="n">
        <f aca="false">$E19*T19/100</f>
        <v>0</v>
      </c>
      <c r="X19" s="2"/>
      <c r="Y19" s="17" t="n">
        <v>100</v>
      </c>
      <c r="Z19" s="13" t="n">
        <f aca="false">C19*Y19/100</f>
        <v>6</v>
      </c>
      <c r="AA19" s="16" t="n">
        <f aca="false">J19*Y19/100</f>
        <v>1384.61538461538</v>
      </c>
      <c r="AB19" s="18" t="n">
        <f aca="false">$E19*Y19/100</f>
        <v>4800</v>
      </c>
      <c r="AC19" s="2"/>
      <c r="AD19" s="19" t="n">
        <v>0</v>
      </c>
      <c r="AE19" s="13" t="n">
        <f aca="false">$C19*AD19/100</f>
        <v>0</v>
      </c>
      <c r="AF19" s="16" t="n">
        <f aca="false">$J19*AD19/100</f>
        <v>0</v>
      </c>
      <c r="AG19" s="18" t="n">
        <f aca="false">$E19*AD19/100</f>
        <v>0</v>
      </c>
      <c r="AH19" s="2"/>
      <c r="AI19" s="19" t="n">
        <v>0</v>
      </c>
      <c r="AJ19" s="13" t="n">
        <f aca="false">$C19*AI19/100</f>
        <v>0</v>
      </c>
      <c r="AK19" s="16" t="n">
        <f aca="false">$J19*AI19/100</f>
        <v>0</v>
      </c>
      <c r="AL19" s="18" t="n">
        <f aca="false">$E19*AI19/100</f>
        <v>0</v>
      </c>
      <c r="AM19" s="2"/>
      <c r="AN19" s="19" t="n">
        <v>0</v>
      </c>
      <c r="AO19" s="13" t="n">
        <f aca="false">$C19*AN19/100</f>
        <v>0</v>
      </c>
      <c r="AP19" s="16" t="n">
        <f aca="false">$J19*AN19/100</f>
        <v>0</v>
      </c>
      <c r="AQ19" s="18" t="n">
        <f aca="false">$E19*AN19/100</f>
        <v>0</v>
      </c>
      <c r="AR19" s="2"/>
      <c r="AS19" s="19" t="n">
        <v>0</v>
      </c>
      <c r="AT19" s="13" t="n">
        <f aca="false">$C19*AS19/100</f>
        <v>0</v>
      </c>
      <c r="AU19" s="16" t="n">
        <f aca="false">$J19*AS19/100</f>
        <v>0</v>
      </c>
      <c r="AV19" s="18" t="n">
        <f aca="false">$E19*AS19/100</f>
        <v>0</v>
      </c>
    </row>
    <row r="20" customFormat="false" ht="13.8" hidden="false" customHeight="false" outlineLevel="0" collapsed="false">
      <c r="A20" s="12" t="s">
        <v>50</v>
      </c>
      <c r="B20" s="13" t="n">
        <v>20</v>
      </c>
      <c r="C20" s="13" t="n">
        <v>5</v>
      </c>
      <c r="D20" s="14" t="n">
        <f aca="false">B20*C20/100</f>
        <v>1</v>
      </c>
      <c r="E20" s="15" t="n">
        <f aca="false">$B$1*C20/100</f>
        <v>4000</v>
      </c>
      <c r="F20" s="15" t="n">
        <v>0</v>
      </c>
      <c r="G20" s="15" t="n">
        <f aca="false">E20-F20</f>
        <v>4000</v>
      </c>
      <c r="H20" s="15" t="n">
        <f aca="false">G20/($B$4)*2</f>
        <v>230.769230769231</v>
      </c>
      <c r="I20" s="15" t="n">
        <f aca="false">G20/($B$3)</f>
        <v>500</v>
      </c>
      <c r="J20" s="15" t="n">
        <f aca="false">F20+H20/2*$B$5</f>
        <v>1153.84615384615</v>
      </c>
      <c r="K20" s="16" t="n">
        <f aca="false">H20*(1+B20/100/52)^(52-$B$4/2)*( ( (1+B20/100/52)^($B$4/2)-1) / (B20/100/52) ) + F20*(1+B20/100/52)^(52)</f>
        <v>4715.73976992627</v>
      </c>
      <c r="L20" s="16" t="n">
        <f aca="false">I20*(1+B20/100/12)^(12-$B$3)*(((1+B20/100/12)^$B$3-1)/(B20/100/12)) + F20*(1+B20/100/12)^(12)</f>
        <v>4531.17467678658</v>
      </c>
      <c r="M20" s="2" t="n">
        <v>0</v>
      </c>
      <c r="N20" s="16" t="n">
        <f aca="false">M20*H20</f>
        <v>0</v>
      </c>
      <c r="O20" s="17" t="n">
        <v>20</v>
      </c>
      <c r="P20" s="13" t="n">
        <f aca="false">C20*O20/100</f>
        <v>1</v>
      </c>
      <c r="Q20" s="16" t="n">
        <f aca="false">J20*O20/100</f>
        <v>230.769230769231</v>
      </c>
      <c r="R20" s="18" t="n">
        <f aca="false">$E20*O20/100</f>
        <v>800</v>
      </c>
      <c r="S20" s="2"/>
      <c r="T20" s="17" t="n">
        <v>0.65</v>
      </c>
      <c r="U20" s="13" t="n">
        <f aca="false">C20*T20/100</f>
        <v>0.0325</v>
      </c>
      <c r="V20" s="16" t="n">
        <f aca="false">J20*T20/100</f>
        <v>7.5</v>
      </c>
      <c r="W20" s="18" t="n">
        <f aca="false">$E20*T20/100</f>
        <v>26</v>
      </c>
      <c r="X20" s="2"/>
      <c r="Y20" s="17" t="n">
        <v>0</v>
      </c>
      <c r="Z20" s="13" t="n">
        <f aca="false">C20*Y20/100</f>
        <v>0</v>
      </c>
      <c r="AA20" s="16" t="n">
        <f aca="false">J20*Y20/100</f>
        <v>0</v>
      </c>
      <c r="AB20" s="18" t="n">
        <f aca="false">$E20*Y20/100</f>
        <v>0</v>
      </c>
      <c r="AC20" s="2"/>
      <c r="AD20" s="19" t="n">
        <v>5</v>
      </c>
      <c r="AE20" s="13" t="n">
        <f aca="false">$C20*AD20/100</f>
        <v>0.25</v>
      </c>
      <c r="AF20" s="16" t="n">
        <f aca="false">$J20*AD20/100</f>
        <v>57.6923076923077</v>
      </c>
      <c r="AG20" s="18" t="n">
        <f aca="false">$E20*AD20/100</f>
        <v>200</v>
      </c>
      <c r="AH20" s="2"/>
      <c r="AI20" s="19" t="n">
        <v>24</v>
      </c>
      <c r="AJ20" s="13" t="n">
        <f aca="false">$C20*AI20/100</f>
        <v>1.2</v>
      </c>
      <c r="AK20" s="16" t="n">
        <f aca="false">$J20*AI20/100</f>
        <v>276.923076923077</v>
      </c>
      <c r="AL20" s="18" t="n">
        <f aca="false">$E20*AI20/100</f>
        <v>960</v>
      </c>
      <c r="AM20" s="2"/>
      <c r="AN20" s="19" t="n">
        <v>3.15</v>
      </c>
      <c r="AO20" s="13" t="n">
        <f aca="false">$C20*AN20/100</f>
        <v>0.1575</v>
      </c>
      <c r="AP20" s="16" t="n">
        <f aca="false">$J20*AN20/100</f>
        <v>36.3461538461538</v>
      </c>
      <c r="AQ20" s="18" t="n">
        <f aca="false">$E20*AN20/100</f>
        <v>126</v>
      </c>
      <c r="AR20" s="2"/>
      <c r="AS20" s="19" t="n">
        <v>0</v>
      </c>
      <c r="AT20" s="13" t="n">
        <f aca="false">$C20*AS20/100</f>
        <v>0</v>
      </c>
      <c r="AU20" s="16" t="n">
        <f aca="false">$J20*AS20/100</f>
        <v>0</v>
      </c>
      <c r="AV20" s="18" t="n">
        <f aca="false">$E20*AS20/100</f>
        <v>0</v>
      </c>
    </row>
    <row r="21" customFormat="false" ht="13.8" hidden="false" customHeight="false" outlineLevel="0" collapsed="false">
      <c r="A21" s="12" t="s">
        <v>51</v>
      </c>
      <c r="B21" s="13" t="n">
        <v>-15</v>
      </c>
      <c r="C21" s="13" t="n">
        <v>2</v>
      </c>
      <c r="D21" s="14" t="n">
        <f aca="false">B21*C21/100</f>
        <v>-0.3</v>
      </c>
      <c r="E21" s="15" t="n">
        <f aca="false">$B$1*C21/100</f>
        <v>1600</v>
      </c>
      <c r="F21" s="15" t="n">
        <v>0</v>
      </c>
      <c r="G21" s="15" t="n">
        <f aca="false">E21-F21</f>
        <v>1600</v>
      </c>
      <c r="H21" s="15" t="n">
        <f aca="false">G21/($B$4)*2</f>
        <v>92.3076923076923</v>
      </c>
      <c r="I21" s="15" t="n">
        <f aca="false">G21/($B$3)</f>
        <v>200</v>
      </c>
      <c r="J21" s="15" t="n">
        <f aca="false">F21+H21/2*$B$5</f>
        <v>461.538461538462</v>
      </c>
      <c r="K21" s="16" t="n">
        <f aca="false">H21*(1+B21/100/52)^(52-$B$4/2)*( ( (1+B21/100/52)^($B$4/2)-1) / (B21/100/52) ) + F21*(1+B21/100/52)^(52)</f>
        <v>1413.92779713889</v>
      </c>
      <c r="L21" s="16" t="n">
        <f aca="false">I21*(1+B21/100/12)^(12-$B$3)*(((1+B21/100/12)^$B$3-1)/(B21/100/12)) + F21*(1+B21/100/12)^(12)</f>
        <v>1456.56084264057</v>
      </c>
      <c r="M21" s="2" t="n">
        <v>0</v>
      </c>
      <c r="N21" s="16" t="n">
        <f aca="false">M21*H21</f>
        <v>0</v>
      </c>
      <c r="O21" s="17" t="n">
        <v>7</v>
      </c>
      <c r="P21" s="13" t="n">
        <f aca="false">C21*O21/100</f>
        <v>0.14</v>
      </c>
      <c r="Q21" s="16" t="n">
        <f aca="false">J21*O21/100</f>
        <v>32.3076923076923</v>
      </c>
      <c r="R21" s="18" t="n">
        <f aca="false">$E21*O21/100</f>
        <v>112</v>
      </c>
      <c r="S21" s="2"/>
      <c r="T21" s="17" t="n">
        <v>4</v>
      </c>
      <c r="U21" s="13" t="n">
        <f aca="false">C21*T21/100</f>
        <v>0.08</v>
      </c>
      <c r="V21" s="16" t="n">
        <f aca="false">J21*T21/100</f>
        <v>18.4615384615385</v>
      </c>
      <c r="W21" s="18" t="n">
        <f aca="false">$E21*T21/100</f>
        <v>64</v>
      </c>
      <c r="X21" s="2"/>
      <c r="Y21" s="17" t="n">
        <v>0.7</v>
      </c>
      <c r="Z21" s="13" t="n">
        <f aca="false">C21*Y21/100</f>
        <v>0.014</v>
      </c>
      <c r="AA21" s="16" t="n">
        <f aca="false">J21*Y21/100</f>
        <v>3.23076923076923</v>
      </c>
      <c r="AB21" s="18" t="n">
        <f aca="false">$E21*Y21/100</f>
        <v>11.2</v>
      </c>
      <c r="AC21" s="2"/>
      <c r="AD21" s="19" t="n">
        <v>7.6</v>
      </c>
      <c r="AE21" s="13" t="n">
        <f aca="false">$C21*AD21/100</f>
        <v>0.152</v>
      </c>
      <c r="AF21" s="16" t="n">
        <f aca="false">$J21*AD21/100</f>
        <v>35.0769230769231</v>
      </c>
      <c r="AG21" s="18" t="n">
        <f aca="false">$E21*AD21/100</f>
        <v>121.6</v>
      </c>
      <c r="AH21" s="2"/>
      <c r="AI21" s="19" t="n">
        <v>13.5</v>
      </c>
      <c r="AJ21" s="13" t="n">
        <f aca="false">$C21*AI21/100</f>
        <v>0.27</v>
      </c>
      <c r="AK21" s="16" t="n">
        <f aca="false">$J21*AI21/100</f>
        <v>62.3076923076923</v>
      </c>
      <c r="AL21" s="18" t="n">
        <f aca="false">$E21*AI21/100</f>
        <v>216</v>
      </c>
      <c r="AM21" s="2"/>
      <c r="AN21" s="19" t="n">
        <v>18</v>
      </c>
      <c r="AO21" s="13" t="n">
        <f aca="false">$C21*AN21/100</f>
        <v>0.36</v>
      </c>
      <c r="AP21" s="16" t="n">
        <f aca="false">$J21*AN21/100</f>
        <v>83.0769230769231</v>
      </c>
      <c r="AQ21" s="18" t="n">
        <f aca="false">$E21*AN21/100</f>
        <v>288</v>
      </c>
      <c r="AR21" s="2"/>
      <c r="AS21" s="19" t="n">
        <v>0</v>
      </c>
      <c r="AT21" s="13" t="n">
        <f aca="false">$C21*AS21/100</f>
        <v>0</v>
      </c>
      <c r="AU21" s="16" t="n">
        <f aca="false">$J21*AS21/100</f>
        <v>0</v>
      </c>
      <c r="AV21" s="18" t="n">
        <f aca="false">$E21*AS21/100</f>
        <v>0</v>
      </c>
    </row>
    <row r="22" customFormat="false" ht="13.8" hidden="false" customHeight="false" outlineLevel="0" collapsed="false">
      <c r="A22" s="24" t="s">
        <v>52</v>
      </c>
      <c r="B22" s="13"/>
      <c r="C22" s="13"/>
      <c r="D22" s="14"/>
      <c r="E22" s="15"/>
      <c r="F22" s="15"/>
      <c r="G22" s="15"/>
      <c r="H22" s="15"/>
      <c r="I22" s="15"/>
      <c r="J22" s="15"/>
      <c r="K22" s="16"/>
      <c r="L22" s="16"/>
      <c r="M22" s="2"/>
      <c r="N22" s="16"/>
      <c r="O22" s="25" t="s">
        <v>53</v>
      </c>
      <c r="P22" s="26" t="n">
        <f aca="false">SUM(P9:P21)</f>
        <v>27.052</v>
      </c>
      <c r="Q22" s="27" t="n">
        <f aca="false">SUM(Q9:Q17)</f>
        <v>5979.69230769231</v>
      </c>
      <c r="R22" s="28" t="n">
        <f aca="false">SUM(R9:R21)</f>
        <v>21641.6</v>
      </c>
      <c r="S22" s="2"/>
      <c r="T22" s="25" t="s">
        <v>53</v>
      </c>
      <c r="U22" s="26" t="n">
        <f aca="false">SUM(U9:U21)</f>
        <v>8.2682</v>
      </c>
      <c r="V22" s="27" t="n">
        <f aca="false">SUM(V9:V17)</f>
        <v>1882.08461538462</v>
      </c>
      <c r="W22" s="28" t="n">
        <f aca="false">SUM(W9:W21)</f>
        <v>6614.56</v>
      </c>
      <c r="X22" s="2"/>
      <c r="Y22" s="25" t="s">
        <v>53</v>
      </c>
      <c r="Z22" s="26" t="n">
        <f aca="false">SUM(Z9:Z21)</f>
        <v>6.1608</v>
      </c>
      <c r="AA22" s="27" t="n">
        <f aca="false">SUM(AA9:AA17)</f>
        <v>33.8769230769231</v>
      </c>
      <c r="AB22" s="28" t="n">
        <f aca="false">SUM(AB9:AB21)</f>
        <v>4928.64</v>
      </c>
      <c r="AC22" s="2"/>
      <c r="AD22" s="25" t="s">
        <v>53</v>
      </c>
      <c r="AE22" s="26" t="n">
        <f aca="false">SUM(AE9:AE21)</f>
        <v>7.1898</v>
      </c>
      <c r="AF22" s="27" t="n">
        <f aca="false">SUM(AF9:AF17)</f>
        <v>1566.41538461538</v>
      </c>
      <c r="AG22" s="28" t="n">
        <f aca="false">SUM(AG9:AG21)</f>
        <v>5751.84</v>
      </c>
      <c r="AH22" s="2"/>
      <c r="AI22" s="25" t="s">
        <v>53</v>
      </c>
      <c r="AJ22" s="26" t="n">
        <f aca="false">SUM(AJ9:AJ21)</f>
        <v>7.2884</v>
      </c>
      <c r="AK22" s="27" t="n">
        <f aca="false">SUM(AK9:AK17)</f>
        <v>1342.70769230769</v>
      </c>
      <c r="AL22" s="28" t="n">
        <f aca="false">SUM(AL9:AL21)</f>
        <v>5830.72</v>
      </c>
      <c r="AM22" s="2"/>
      <c r="AN22" s="25" t="s">
        <v>53</v>
      </c>
      <c r="AO22" s="26" t="n">
        <f aca="false">SUM(AO9:AO21)</f>
        <v>5.8935</v>
      </c>
      <c r="AP22" s="27" t="n">
        <f aca="false">SUM(AP9:AP17)</f>
        <v>1240.61538461538</v>
      </c>
      <c r="AQ22" s="28" t="n">
        <f aca="false">SUM(AQ9:AQ21)</f>
        <v>4714.8</v>
      </c>
      <c r="AR22" s="2"/>
      <c r="AS22" s="25" t="s">
        <v>53</v>
      </c>
      <c r="AT22" s="26" t="n">
        <f aca="false">SUM(AT9:AT21)</f>
        <v>7</v>
      </c>
      <c r="AU22" s="27" t="n">
        <f aca="false">SUM(AU9:AU17)</f>
        <v>0</v>
      </c>
      <c r="AV22" s="28" t="n">
        <f aca="false">SUM(AV9:AV21)</f>
        <v>5600</v>
      </c>
    </row>
    <row r="23" customFormat="false" ht="13.8" hidden="false" customHeight="false" outlineLevel="0" collapsed="false">
      <c r="A23" s="12"/>
      <c r="B23" s="13"/>
      <c r="C23" s="13"/>
      <c r="D23" s="14"/>
      <c r="E23" s="15"/>
      <c r="F23" s="15"/>
      <c r="G23" s="15"/>
      <c r="H23" s="15"/>
      <c r="I23" s="15"/>
      <c r="J23" s="15"/>
      <c r="K23" s="16"/>
      <c r="L23" s="16"/>
      <c r="M23" s="2"/>
      <c r="N23" s="1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customFormat="false" ht="13.8" hidden="false" customHeight="false" outlineLevel="0" collapsed="false">
      <c r="A24" s="12"/>
      <c r="B24" s="13"/>
      <c r="C24" s="13"/>
      <c r="D24" s="14"/>
      <c r="E24" s="15"/>
      <c r="F24" s="15"/>
      <c r="G24" s="15"/>
      <c r="H24" s="15"/>
      <c r="I24" s="15"/>
      <c r="J24" s="15"/>
      <c r="K24" s="16"/>
      <c r="L24" s="16"/>
      <c r="M24" s="2"/>
      <c r="N24" s="1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 t="s">
        <v>54</v>
      </c>
      <c r="AT24" s="2" t="n">
        <f aca="false">AT22+Z22+U22</f>
        <v>21.429</v>
      </c>
      <c r="AU24" s="2"/>
      <c r="AV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customFormat="false" ht="13.8" hidden="false" customHeight="false" outlineLevel="0" collapsed="false">
      <c r="A26" s="29" t="s">
        <v>55</v>
      </c>
      <c r="B26" s="2"/>
      <c r="C26" s="7" t="n">
        <f aca="false">SUM(C9:C24)</f>
        <v>100</v>
      </c>
      <c r="D26" s="7" t="n">
        <f aca="false">SUM(D9:D24)</f>
        <v>17.2</v>
      </c>
      <c r="E26" s="15" t="n">
        <f aca="false">SUM(E9:E24)</f>
        <v>80000</v>
      </c>
      <c r="F26" s="15" t="n">
        <f aca="false">SUM(F9:F24)</f>
        <v>0</v>
      </c>
      <c r="G26" s="15" t="n">
        <f aca="false">SUM(G9:G24)</f>
        <v>80000</v>
      </c>
      <c r="H26" s="15" t="n">
        <f aca="false">SUM(H9:H24)</f>
        <v>4615.38461538462</v>
      </c>
      <c r="I26" s="15" t="n">
        <f aca="false">SUM(I9:I24)</f>
        <v>10000</v>
      </c>
      <c r="J26" s="15" t="n">
        <f aca="false">SUM(J9:J24)</f>
        <v>23076.9230769231</v>
      </c>
      <c r="K26" s="15" t="n">
        <f aca="false">SUM(K9:K24)</f>
        <v>92390.0937779798</v>
      </c>
      <c r="L26" s="15" t="n">
        <f aca="false">SUM(L9:L24)</f>
        <v>89178.1508149604</v>
      </c>
      <c r="M26" s="2"/>
      <c r="N26" s="16" t="n">
        <f aca="false">SUM(N9:N24)</f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18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customFormat="false" ht="13.8" hidden="false" customHeight="false" outlineLevel="0" collapsed="false">
      <c r="A27" s="30" t="s">
        <v>56</v>
      </c>
      <c r="B27" s="31"/>
      <c r="C27" s="31"/>
      <c r="D27" s="31"/>
      <c r="E27" s="32" t="n">
        <f aca="false">E26-E28</f>
        <v>79703.6</v>
      </c>
      <c r="F27" s="32" t="n">
        <f aca="false">F26-F28</f>
        <v>0</v>
      </c>
      <c r="G27" s="32" t="n">
        <f aca="false">G26-G28</f>
        <v>79703.6</v>
      </c>
      <c r="H27" s="32" t="n">
        <f aca="false">H26-H28</f>
        <v>4598.28461538462</v>
      </c>
      <c r="I27" s="32" t="n">
        <f aca="false">I26-I28</f>
        <v>9962.95</v>
      </c>
      <c r="J27" s="32" t="n">
        <f aca="false">J26-J28</f>
        <v>22991.4230769231</v>
      </c>
      <c r="K27" s="33" t="n">
        <f aca="false">K26-E28</f>
        <v>92093.6937779799</v>
      </c>
      <c r="L27" s="33" t="n">
        <f aca="false">L26-E28</f>
        <v>88881.7508149606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customFormat="false" ht="13.8" hidden="false" customHeight="false" outlineLevel="0" collapsed="false">
      <c r="A28" s="34" t="s">
        <v>57</v>
      </c>
      <c r="B28" s="4"/>
      <c r="C28" s="4"/>
      <c r="D28" s="4"/>
      <c r="E28" s="15" t="n">
        <f aca="false">E26*(0.25/100 + 0.075/100)*1.14</f>
        <v>296.4</v>
      </c>
      <c r="F28" s="15" t="n">
        <f aca="false">F26*(0.25/100 + 0.075/100)*1.14</f>
        <v>0</v>
      </c>
      <c r="G28" s="15" t="n">
        <f aca="false">G26*(0.25/100 + 0.075/100)*1.14</f>
        <v>296.4</v>
      </c>
      <c r="H28" s="15" t="n">
        <f aca="false">H26*(0.25/100 + 0.075/100)*1.14</f>
        <v>17.1</v>
      </c>
      <c r="I28" s="15" t="n">
        <f aca="false">I26*(0.25/100 + 0.075/100)*1.14</f>
        <v>37.05</v>
      </c>
      <c r="J28" s="15" t="n">
        <f aca="false">J26*(0.25/100 + 0.075/100)*1.14</f>
        <v>85.5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customFormat="false" ht="13.8" hidden="false" customHeight="false" outlineLevel="0" collapsed="false">
      <c r="A29" s="34"/>
      <c r="B29" s="4"/>
      <c r="C29" s="4"/>
      <c r="D29" s="4"/>
      <c r="E29" s="15"/>
      <c r="F29" s="15"/>
      <c r="G29" s="15"/>
      <c r="H29" s="15"/>
      <c r="I29" s="15"/>
      <c r="J29" s="1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customFormat="false" ht="13.8" hidden="false" customHeight="false" outlineLevel="0" collapsed="false">
      <c r="A30" s="4"/>
      <c r="B30" s="7" t="s">
        <v>58</v>
      </c>
      <c r="C30" s="7" t="s">
        <v>59</v>
      </c>
      <c r="D30" s="35"/>
      <c r="E30" s="2"/>
      <c r="F30" s="2"/>
      <c r="G30" s="2"/>
      <c r="H30" s="2"/>
      <c r="I30" s="2" t="s">
        <v>60</v>
      </c>
      <c r="J30" s="16" t="n">
        <f aca="false">J27+N26</f>
        <v>22991.4230769231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customFormat="false" ht="13.8" hidden="false" customHeight="false" outlineLevel="0" collapsed="false">
      <c r="A31" s="36" t="s">
        <v>61</v>
      </c>
      <c r="B31" s="37" t="n">
        <f aca="false">K27-$E$27</f>
        <v>12390.0937779798</v>
      </c>
      <c r="C31" s="37" t="n">
        <f aca="false">L27-$E$27</f>
        <v>9178.15081496057</v>
      </c>
      <c r="D31" s="3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customFormat="false" ht="13.8" hidden="false" customHeight="false" outlineLevel="0" collapsed="false">
      <c r="A32" s="39" t="s">
        <v>62</v>
      </c>
      <c r="B32" s="40" t="n">
        <f aca="false">B31/$B$1</f>
        <v>0.154876172224748</v>
      </c>
      <c r="C32" s="40" t="n">
        <f aca="false">C31/B1</f>
        <v>0.114726885187007</v>
      </c>
      <c r="D32" s="4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</row>
    <row r="1033" customFormat="false" ht="15" hidden="false" customHeight="false" outlineLevel="0" collapsed="false"/>
    <row r="1034" customFormat="false" ht="15" hidden="false" customHeight="false" outlineLevel="0" collapsed="false"/>
    <row r="1035" customFormat="false" ht="15" hidden="false" customHeight="false" outlineLevel="0" collapsed="false"/>
    <row r="1036" customFormat="false" ht="15" hidden="false" customHeight="false" outlineLevel="0" collapsed="false"/>
    <row r="1037" customFormat="false" ht="15" hidden="false" customHeight="false" outlineLevel="0" collapsed="false"/>
    <row r="1038" customFormat="false" ht="15" hidden="false" customHeight="false" outlineLevel="0" collapsed="false"/>
    <row r="1039" customFormat="false" ht="15" hidden="false" customHeight="false" outlineLevel="0" collapsed="false"/>
    <row r="1040" customFormat="false" ht="15" hidden="false" customHeight="false" outlineLevel="0" collapsed="false"/>
    <row r="1041" customFormat="false" ht="15" hidden="false" customHeight="false" outlineLevel="0" collapsed="false"/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  <row r="1556" customFormat="false" ht="15" hidden="false" customHeight="false" outlineLevel="0" collapsed="false"/>
    <row r="1557" customFormat="false" ht="15" hidden="false" customHeight="false" outlineLevel="0" collapsed="false"/>
    <row r="1558" customFormat="false" ht="15" hidden="false" customHeight="false" outlineLevel="0" collapsed="false"/>
    <row r="1559" customFormat="false" ht="15" hidden="false" customHeight="false" outlineLevel="0" collapsed="false"/>
    <row r="1560" customFormat="false" ht="15" hidden="false" customHeight="false" outlineLevel="0" collapsed="false"/>
    <row r="1561" customFormat="false" ht="15" hidden="false" customHeight="false" outlineLevel="0" collapsed="false"/>
    <row r="1562" customFormat="false" ht="15" hidden="false" customHeight="false" outlineLevel="0" collapsed="false"/>
    <row r="1563" customFormat="false" ht="15" hidden="false" customHeight="false" outlineLevel="0" collapsed="false"/>
    <row r="1564" customFormat="false" ht="15" hidden="false" customHeight="false" outlineLevel="0" collapsed="false"/>
    <row r="1565" customFormat="false" ht="15" hidden="false" customHeight="false" outlineLevel="0" collapsed="false"/>
    <row r="1566" customFormat="false" ht="15" hidden="false" customHeight="false" outlineLevel="0" collapsed="false"/>
    <row r="1567" customFormat="false" ht="15" hidden="false" customHeight="false" outlineLevel="0" collapsed="false"/>
    <row r="1568" customFormat="false" ht="15" hidden="false" customHeight="false" outlineLevel="0" collapsed="false"/>
    <row r="1569" customFormat="false" ht="15" hidden="false" customHeight="false" outlineLevel="0" collapsed="false"/>
    <row r="1570" customFormat="false" ht="15" hidden="false" customHeight="false" outlineLevel="0" collapsed="false"/>
    <row r="1571" customFormat="false" ht="15" hidden="false" customHeight="false" outlineLevel="0" collapsed="false"/>
    <row r="1572" customFormat="false" ht="15" hidden="false" customHeight="false" outlineLevel="0" collapsed="false"/>
    <row r="1573" customFormat="false" ht="15" hidden="false" customHeight="false" outlineLevel="0" collapsed="false"/>
    <row r="1574" customFormat="false" ht="15" hidden="false" customHeight="false" outlineLevel="0" collapsed="false"/>
    <row r="1575" customFormat="false" ht="15" hidden="false" customHeight="false" outlineLevel="0" collapsed="false"/>
    <row r="1576" customFormat="false" ht="15" hidden="false" customHeight="false" outlineLevel="0" collapsed="false"/>
    <row r="1577" customFormat="false" ht="15" hidden="false" customHeight="false" outlineLevel="0" collapsed="false"/>
    <row r="1578" customFormat="false" ht="15" hidden="false" customHeight="false" outlineLevel="0" collapsed="false"/>
    <row r="1579" customFormat="false" ht="15" hidden="false" customHeight="false" outlineLevel="0" collapsed="false"/>
    <row r="1580" customFormat="false" ht="15" hidden="false" customHeight="false" outlineLevel="0" collapsed="false"/>
    <row r="1581" customFormat="false" ht="15" hidden="false" customHeight="false" outlineLevel="0" collapsed="false"/>
    <row r="1582" customFormat="false" ht="15" hidden="false" customHeight="false" outlineLevel="0" collapsed="false"/>
    <row r="1583" customFormat="false" ht="15" hidden="false" customHeight="false" outlineLevel="0" collapsed="false"/>
    <row r="1584" customFormat="false" ht="15" hidden="false" customHeight="false" outlineLevel="0" collapsed="false"/>
    <row r="1585" customFormat="false" ht="15" hidden="false" customHeight="false" outlineLevel="0" collapsed="false"/>
    <row r="1586" customFormat="false" ht="15" hidden="false" customHeight="false" outlineLevel="0" collapsed="false"/>
    <row r="1587" customFormat="false" ht="15" hidden="false" customHeight="false" outlineLevel="0" collapsed="false"/>
    <row r="1588" customFormat="false" ht="15" hidden="false" customHeight="false" outlineLevel="0" collapsed="false"/>
    <row r="1589" customFormat="false" ht="15" hidden="false" customHeight="false" outlineLevel="0" collapsed="false"/>
    <row r="1590" customFormat="false" ht="15" hidden="false" customHeight="false" outlineLevel="0" collapsed="false"/>
    <row r="1591" customFormat="false" ht="15" hidden="false" customHeight="false" outlineLevel="0" collapsed="false"/>
    <row r="1592" customFormat="false" ht="15" hidden="false" customHeight="false" outlineLevel="0" collapsed="false"/>
    <row r="1593" customFormat="false" ht="15" hidden="false" customHeight="false" outlineLevel="0" collapsed="false"/>
    <row r="1594" customFormat="false" ht="15" hidden="false" customHeight="false" outlineLevel="0" collapsed="false"/>
    <row r="1595" customFormat="false" ht="15" hidden="false" customHeight="false" outlineLevel="0" collapsed="false"/>
    <row r="1596" customFormat="false" ht="15" hidden="false" customHeight="false" outlineLevel="0" collapsed="false"/>
    <row r="1597" customFormat="false" ht="15" hidden="false" customHeight="false" outlineLevel="0" collapsed="false"/>
    <row r="1598" customFormat="false" ht="15" hidden="false" customHeight="false" outlineLevel="0" collapsed="false"/>
    <row r="1599" customFormat="false" ht="15" hidden="false" customHeight="false" outlineLevel="0" collapsed="false"/>
    <row r="1600" customFormat="false" ht="15" hidden="false" customHeight="false" outlineLevel="0" collapsed="false"/>
    <row r="1601" customFormat="false" ht="15" hidden="false" customHeight="false" outlineLevel="0" collapsed="false"/>
    <row r="1602" customFormat="false" ht="15" hidden="false" customHeight="false" outlineLevel="0" collapsed="false"/>
    <row r="1603" customFormat="false" ht="15" hidden="false" customHeight="false" outlineLevel="0" collapsed="false"/>
    <row r="1604" customFormat="false" ht="15" hidden="false" customHeight="false" outlineLevel="0" collapsed="false"/>
    <row r="1605" customFormat="false" ht="15" hidden="false" customHeight="false" outlineLevel="0" collapsed="false"/>
    <row r="1606" customFormat="false" ht="15" hidden="false" customHeight="false" outlineLevel="0" collapsed="false"/>
    <row r="1607" customFormat="false" ht="15" hidden="false" customHeight="false" outlineLevel="0" collapsed="false"/>
    <row r="1608" customFormat="false" ht="15" hidden="false" customHeight="false" outlineLevel="0" collapsed="false"/>
    <row r="1609" customFormat="false" ht="15" hidden="false" customHeight="false" outlineLevel="0" collapsed="false"/>
    <row r="1610" customFormat="false" ht="15" hidden="false" customHeight="false" outlineLevel="0" collapsed="false"/>
    <row r="1611" customFormat="false" ht="15" hidden="false" customHeight="false" outlineLevel="0" collapsed="false"/>
    <row r="1612" customFormat="false" ht="15" hidden="false" customHeight="false" outlineLevel="0" collapsed="false"/>
    <row r="1613" customFormat="false" ht="15" hidden="false" customHeight="false" outlineLevel="0" collapsed="false"/>
    <row r="1614" customFormat="false" ht="15" hidden="false" customHeight="false" outlineLevel="0" collapsed="false"/>
    <row r="1615" customFormat="false" ht="15" hidden="false" customHeight="false" outlineLevel="0" collapsed="false"/>
    <row r="1616" customFormat="false" ht="15" hidden="false" customHeight="false" outlineLevel="0" collapsed="false"/>
    <row r="1617" customFormat="false" ht="15" hidden="false" customHeight="false" outlineLevel="0" collapsed="false"/>
    <row r="1618" customFormat="false" ht="15" hidden="false" customHeight="false" outlineLevel="0" collapsed="false"/>
    <row r="1619" customFormat="false" ht="15" hidden="false" customHeight="false" outlineLevel="0" collapsed="false"/>
    <row r="1620" customFormat="false" ht="15" hidden="false" customHeight="false" outlineLevel="0" collapsed="false"/>
    <row r="1621" customFormat="false" ht="15" hidden="false" customHeight="false" outlineLevel="0" collapsed="false"/>
    <row r="1622" customFormat="false" ht="15" hidden="false" customHeight="false" outlineLevel="0" collapsed="false"/>
    <row r="1623" customFormat="false" ht="15" hidden="false" customHeight="false" outlineLevel="0" collapsed="false"/>
    <row r="1624" customFormat="false" ht="15" hidden="false" customHeight="false" outlineLevel="0" collapsed="false"/>
    <row r="1625" customFormat="false" ht="15" hidden="false" customHeight="false" outlineLevel="0" collapsed="false"/>
    <row r="1626" customFormat="false" ht="15" hidden="false" customHeight="false" outlineLevel="0" collapsed="false"/>
    <row r="1627" customFormat="false" ht="15" hidden="false" customHeight="false" outlineLevel="0" collapsed="false"/>
    <row r="1628" customFormat="false" ht="15" hidden="false" customHeight="false" outlineLevel="0" collapsed="false"/>
    <row r="1629" customFormat="false" ht="15" hidden="false" customHeight="false" outlineLevel="0" collapsed="false"/>
    <row r="1630" customFormat="false" ht="15" hidden="false" customHeight="false" outlineLevel="0" collapsed="false"/>
    <row r="1631" customFormat="false" ht="15" hidden="false" customHeight="false" outlineLevel="0" collapsed="false"/>
    <row r="1632" customFormat="false" ht="15" hidden="false" customHeight="false" outlineLevel="0" collapsed="false"/>
    <row r="1633" customFormat="false" ht="15" hidden="false" customHeight="false" outlineLevel="0" collapsed="false"/>
    <row r="1634" customFormat="false" ht="15" hidden="false" customHeight="false" outlineLevel="0" collapsed="false"/>
    <row r="1635" customFormat="false" ht="15" hidden="false" customHeight="false" outlineLevel="0" collapsed="false"/>
    <row r="1636" customFormat="false" ht="15" hidden="false" customHeight="false" outlineLevel="0" collapsed="false"/>
    <row r="1637" customFormat="false" ht="15" hidden="false" customHeight="false" outlineLevel="0" collapsed="false"/>
    <row r="1638" customFormat="false" ht="15" hidden="false" customHeight="false" outlineLevel="0" collapsed="false"/>
    <row r="1639" customFormat="false" ht="15" hidden="false" customHeight="false" outlineLevel="0" collapsed="false"/>
    <row r="1640" customFormat="false" ht="15" hidden="false" customHeight="false" outlineLevel="0" collapsed="false"/>
    <row r="1641" customFormat="false" ht="15" hidden="false" customHeight="false" outlineLevel="0" collapsed="false"/>
    <row r="1642" customFormat="false" ht="15" hidden="false" customHeight="false" outlineLevel="0" collapsed="false"/>
    <row r="1643" customFormat="false" ht="15" hidden="false" customHeight="false" outlineLevel="0" collapsed="false"/>
    <row r="1644" customFormat="false" ht="15" hidden="false" customHeight="false" outlineLevel="0" collapsed="false"/>
    <row r="1645" customFormat="false" ht="15" hidden="false" customHeight="false" outlineLevel="0" collapsed="false"/>
    <row r="1646" customFormat="false" ht="15" hidden="false" customHeight="false" outlineLevel="0" collapsed="false"/>
    <row r="1647" customFormat="false" ht="15" hidden="false" customHeight="false" outlineLevel="0" collapsed="false"/>
    <row r="1648" customFormat="false" ht="15" hidden="false" customHeight="false" outlineLevel="0" collapsed="false"/>
    <row r="1649" customFormat="false" ht="15" hidden="false" customHeight="false" outlineLevel="0" collapsed="false"/>
    <row r="1650" customFormat="false" ht="15" hidden="false" customHeight="false" outlineLevel="0" collapsed="false"/>
    <row r="1651" customFormat="false" ht="15" hidden="false" customHeight="false" outlineLevel="0" collapsed="false"/>
    <row r="1652" customFormat="false" ht="15" hidden="false" customHeight="false" outlineLevel="0" collapsed="false"/>
    <row r="1653" customFormat="false" ht="15" hidden="false" customHeight="false" outlineLevel="0" collapsed="false"/>
    <row r="1654" customFormat="false" ht="15" hidden="false" customHeight="false" outlineLevel="0" collapsed="false"/>
    <row r="1655" customFormat="false" ht="15" hidden="false" customHeight="false" outlineLevel="0" collapsed="false"/>
    <row r="1656" customFormat="false" ht="15" hidden="false" customHeight="false" outlineLevel="0" collapsed="false"/>
    <row r="1657" customFormat="false" ht="15" hidden="false" customHeight="false" outlineLevel="0" collapsed="false"/>
    <row r="1658" customFormat="false" ht="15" hidden="false" customHeight="false" outlineLevel="0" collapsed="false"/>
    <row r="1659" customFormat="false" ht="15" hidden="false" customHeight="false" outlineLevel="0" collapsed="false"/>
    <row r="1660" customFormat="false" ht="15" hidden="false" customHeight="false" outlineLevel="0" collapsed="false"/>
    <row r="1661" customFormat="false" ht="15" hidden="false" customHeight="false" outlineLevel="0" collapsed="false"/>
    <row r="1662" customFormat="false" ht="15" hidden="false" customHeight="false" outlineLevel="0" collapsed="false"/>
    <row r="1663" customFormat="false" ht="15" hidden="false" customHeight="false" outlineLevel="0" collapsed="false"/>
    <row r="1664" customFormat="false" ht="15" hidden="false" customHeight="false" outlineLevel="0" collapsed="false"/>
    <row r="1665" customFormat="false" ht="15" hidden="false" customHeight="false" outlineLevel="0" collapsed="false"/>
    <row r="1666" customFormat="false" ht="15" hidden="false" customHeight="false" outlineLevel="0" collapsed="false"/>
    <row r="1667" customFormat="false" ht="15" hidden="false" customHeight="false" outlineLevel="0" collapsed="false"/>
    <row r="1668" customFormat="false" ht="15" hidden="false" customHeight="false" outlineLevel="0" collapsed="false"/>
    <row r="1669" customFormat="false" ht="15" hidden="false" customHeight="false" outlineLevel="0" collapsed="false"/>
    <row r="1670" customFormat="false" ht="15" hidden="false" customHeight="false" outlineLevel="0" collapsed="false"/>
    <row r="1671" customFormat="false" ht="15" hidden="false" customHeight="false" outlineLevel="0" collapsed="false"/>
    <row r="1672" customFormat="false" ht="15" hidden="false" customHeight="false" outlineLevel="0" collapsed="false"/>
    <row r="1673" customFormat="false" ht="15" hidden="false" customHeight="false" outlineLevel="0" collapsed="false"/>
    <row r="1674" customFormat="false" ht="15" hidden="false" customHeight="false" outlineLevel="0" collapsed="false"/>
    <row r="1675" customFormat="false" ht="15" hidden="false" customHeight="false" outlineLevel="0" collapsed="false"/>
    <row r="1676" customFormat="false" ht="15" hidden="false" customHeight="false" outlineLevel="0" collapsed="false"/>
    <row r="1677" customFormat="false" ht="15" hidden="false" customHeight="false" outlineLevel="0" collapsed="false"/>
    <row r="1678" customFormat="false" ht="15" hidden="false" customHeight="false" outlineLevel="0" collapsed="false"/>
    <row r="1679" customFormat="false" ht="15" hidden="false" customHeight="false" outlineLevel="0" collapsed="false"/>
    <row r="1680" customFormat="false" ht="15" hidden="false" customHeight="false" outlineLevel="0" collapsed="false"/>
    <row r="1681" customFormat="false" ht="15" hidden="false" customHeight="false" outlineLevel="0" collapsed="false"/>
    <row r="1682" customFormat="false" ht="15" hidden="false" customHeight="false" outlineLevel="0" collapsed="false"/>
    <row r="1683" customFormat="false" ht="15" hidden="false" customHeight="false" outlineLevel="0" collapsed="false"/>
    <row r="1684" customFormat="false" ht="15" hidden="false" customHeight="false" outlineLevel="0" collapsed="false"/>
    <row r="1685" customFormat="false" ht="15" hidden="false" customHeight="false" outlineLevel="0" collapsed="false"/>
    <row r="1686" customFormat="false" ht="15" hidden="false" customHeight="false" outlineLevel="0" collapsed="false"/>
    <row r="1687" customFormat="false" ht="15" hidden="false" customHeight="false" outlineLevel="0" collapsed="false"/>
    <row r="1688" customFormat="false" ht="15" hidden="false" customHeight="false" outlineLevel="0" collapsed="false"/>
    <row r="1689" customFormat="false" ht="15" hidden="false" customHeight="false" outlineLevel="0" collapsed="false"/>
    <row r="1690" customFormat="false" ht="15" hidden="false" customHeight="false" outlineLevel="0" collapsed="false"/>
    <row r="1691" customFormat="false" ht="15" hidden="false" customHeight="false" outlineLevel="0" collapsed="false"/>
    <row r="1692" customFormat="false" ht="15" hidden="false" customHeight="false" outlineLevel="0" collapsed="false"/>
    <row r="1693" customFormat="false" ht="15" hidden="false" customHeight="false" outlineLevel="0" collapsed="false"/>
    <row r="1694" customFormat="false" ht="15" hidden="false" customHeight="false" outlineLevel="0" collapsed="false"/>
    <row r="1695" customFormat="false" ht="15" hidden="false" customHeight="false" outlineLevel="0" collapsed="false"/>
    <row r="1696" customFormat="false" ht="15" hidden="false" customHeight="false" outlineLevel="0" collapsed="false"/>
    <row r="1697" customFormat="false" ht="15" hidden="false" customHeight="false" outlineLevel="0" collapsed="false"/>
    <row r="1698" customFormat="false" ht="15" hidden="false" customHeight="false" outlineLevel="0" collapsed="false"/>
    <row r="1699" customFormat="false" ht="15" hidden="false" customHeight="false" outlineLevel="0" collapsed="false"/>
    <row r="1700" customFormat="false" ht="15" hidden="false" customHeight="false" outlineLevel="0" collapsed="false"/>
    <row r="1701" customFormat="false" ht="15" hidden="false" customHeight="false" outlineLevel="0" collapsed="false"/>
    <row r="1702" customFormat="false" ht="15" hidden="false" customHeight="false" outlineLevel="0" collapsed="false"/>
    <row r="1703" customFormat="false" ht="15" hidden="false" customHeight="false" outlineLevel="0" collapsed="false"/>
    <row r="1704" customFormat="false" ht="15" hidden="false" customHeight="false" outlineLevel="0" collapsed="false"/>
    <row r="1705" customFormat="false" ht="15" hidden="false" customHeight="false" outlineLevel="0" collapsed="false"/>
    <row r="1706" customFormat="false" ht="15" hidden="false" customHeight="false" outlineLevel="0" collapsed="false"/>
    <row r="1707" customFormat="false" ht="15" hidden="false" customHeight="false" outlineLevel="0" collapsed="false"/>
    <row r="1708" customFormat="false" ht="15" hidden="false" customHeight="false" outlineLevel="0" collapsed="false"/>
    <row r="1709" customFormat="false" ht="15" hidden="false" customHeight="false" outlineLevel="0" collapsed="false"/>
    <row r="1710" customFormat="false" ht="15" hidden="false" customHeight="false" outlineLevel="0" collapsed="false"/>
    <row r="1711" customFormat="false" ht="15" hidden="false" customHeight="false" outlineLevel="0" collapsed="false"/>
    <row r="1712" customFormat="false" ht="15" hidden="false" customHeight="false" outlineLevel="0" collapsed="false"/>
    <row r="1713" customFormat="false" ht="15" hidden="false" customHeight="false" outlineLevel="0" collapsed="false"/>
    <row r="1714" customFormat="false" ht="15" hidden="false" customHeight="false" outlineLevel="0" collapsed="false"/>
    <row r="1715" customFormat="false" ht="15" hidden="false" customHeight="false" outlineLevel="0" collapsed="false"/>
    <row r="1716" customFormat="false" ht="15" hidden="false" customHeight="false" outlineLevel="0" collapsed="false"/>
    <row r="1717" customFormat="false" ht="15" hidden="false" customHeight="false" outlineLevel="0" collapsed="false"/>
    <row r="1718" customFormat="false" ht="15" hidden="false" customHeight="false" outlineLevel="0" collapsed="false"/>
    <row r="1719" customFormat="false" ht="15" hidden="false" customHeight="false" outlineLevel="0" collapsed="false"/>
    <row r="1720" customFormat="false" ht="15" hidden="false" customHeight="false" outlineLevel="0" collapsed="false"/>
    <row r="1721" customFormat="false" ht="15" hidden="false" customHeight="false" outlineLevel="0" collapsed="false"/>
    <row r="1722" customFormat="false" ht="15" hidden="false" customHeight="false" outlineLevel="0" collapsed="false"/>
    <row r="1723" customFormat="false" ht="15" hidden="false" customHeight="false" outlineLevel="0" collapsed="false"/>
    <row r="1724" customFormat="false" ht="15" hidden="false" customHeight="false" outlineLevel="0" collapsed="false"/>
    <row r="1725" customFormat="false" ht="15" hidden="false" customHeight="false" outlineLevel="0" collapsed="false"/>
    <row r="1726" customFormat="false" ht="15" hidden="false" customHeight="false" outlineLevel="0" collapsed="false"/>
    <row r="1727" customFormat="false" ht="15" hidden="false" customHeight="false" outlineLevel="0" collapsed="false"/>
    <row r="1728" customFormat="false" ht="15" hidden="false" customHeight="false" outlineLevel="0" collapsed="false"/>
    <row r="1729" customFormat="false" ht="15" hidden="false" customHeight="false" outlineLevel="0" collapsed="false"/>
    <row r="1730" customFormat="false" ht="15" hidden="false" customHeight="false" outlineLevel="0" collapsed="false"/>
    <row r="1731" customFormat="false" ht="15" hidden="false" customHeight="false" outlineLevel="0" collapsed="false"/>
    <row r="1732" customFormat="false" ht="15" hidden="false" customHeight="false" outlineLevel="0" collapsed="false"/>
    <row r="1733" customFormat="false" ht="15" hidden="false" customHeight="false" outlineLevel="0" collapsed="false"/>
    <row r="1734" customFormat="false" ht="15" hidden="false" customHeight="false" outlineLevel="0" collapsed="false"/>
    <row r="1735" customFormat="false" ht="15" hidden="false" customHeight="false" outlineLevel="0" collapsed="false"/>
    <row r="1736" customFormat="false" ht="15" hidden="false" customHeight="false" outlineLevel="0" collapsed="false"/>
    <row r="1737" customFormat="false" ht="15" hidden="false" customHeight="false" outlineLevel="0" collapsed="false"/>
    <row r="1738" customFormat="false" ht="15" hidden="false" customHeight="false" outlineLevel="0" collapsed="false"/>
    <row r="1739" customFormat="false" ht="15" hidden="false" customHeight="false" outlineLevel="0" collapsed="false"/>
    <row r="1740" customFormat="false" ht="15" hidden="false" customHeight="false" outlineLevel="0" collapsed="false"/>
    <row r="1741" customFormat="false" ht="15" hidden="false" customHeight="false" outlineLevel="0" collapsed="false"/>
    <row r="1742" customFormat="false" ht="15" hidden="false" customHeight="false" outlineLevel="0" collapsed="false"/>
    <row r="1743" customFormat="false" ht="15" hidden="false" customHeight="false" outlineLevel="0" collapsed="false"/>
    <row r="1744" customFormat="false" ht="15" hidden="false" customHeight="false" outlineLevel="0" collapsed="false"/>
    <row r="1745" customFormat="false" ht="15" hidden="false" customHeight="false" outlineLevel="0" collapsed="false"/>
    <row r="1746" customFormat="false" ht="15" hidden="false" customHeight="false" outlineLevel="0" collapsed="false"/>
    <row r="1747" customFormat="false" ht="15" hidden="false" customHeight="false" outlineLevel="0" collapsed="false"/>
    <row r="1748" customFormat="false" ht="15" hidden="false" customHeight="false" outlineLevel="0" collapsed="false"/>
    <row r="1749" customFormat="false" ht="15" hidden="false" customHeight="false" outlineLevel="0" collapsed="false"/>
    <row r="1750" customFormat="false" ht="15" hidden="false" customHeight="false" outlineLevel="0" collapsed="false"/>
    <row r="1751" customFormat="false" ht="15" hidden="false" customHeight="false" outlineLevel="0" collapsed="false"/>
    <row r="1752" customFormat="false" ht="15" hidden="false" customHeight="false" outlineLevel="0" collapsed="false"/>
    <row r="1753" customFormat="false" ht="15" hidden="false" customHeight="false" outlineLevel="0" collapsed="false"/>
    <row r="1754" customFormat="false" ht="15" hidden="false" customHeight="false" outlineLevel="0" collapsed="false"/>
    <row r="1755" customFormat="false" ht="15" hidden="false" customHeight="false" outlineLevel="0" collapsed="false"/>
    <row r="1756" customFormat="false" ht="15" hidden="false" customHeight="false" outlineLevel="0" collapsed="false"/>
    <row r="1757" customFormat="false" ht="15" hidden="false" customHeight="false" outlineLevel="0" collapsed="false"/>
    <row r="1758" customFormat="false" ht="15" hidden="false" customHeight="false" outlineLevel="0" collapsed="false"/>
    <row r="1759" customFormat="false" ht="15" hidden="false" customHeight="false" outlineLevel="0" collapsed="false"/>
    <row r="1760" customFormat="false" ht="15" hidden="false" customHeight="false" outlineLevel="0" collapsed="false"/>
    <row r="1761" customFormat="false" ht="15" hidden="false" customHeight="false" outlineLevel="0" collapsed="false"/>
    <row r="1762" customFormat="false" ht="15" hidden="false" customHeight="false" outlineLevel="0" collapsed="false"/>
    <row r="1763" customFormat="false" ht="15" hidden="false" customHeight="false" outlineLevel="0" collapsed="false"/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5" hidden="false" customHeight="false" outlineLevel="0" collapsed="false"/>
    <row r="1768" customFormat="false" ht="15" hidden="false" customHeight="false" outlineLevel="0" collapsed="false"/>
    <row r="1769" customFormat="false" ht="15" hidden="false" customHeight="false" outlineLevel="0" collapsed="false"/>
    <row r="1770" customFormat="false" ht="15" hidden="false" customHeight="false" outlineLevel="0" collapsed="false"/>
    <row r="1771" customFormat="false" ht="15" hidden="false" customHeight="false" outlineLevel="0" collapsed="false"/>
    <row r="1772" customFormat="false" ht="15" hidden="false" customHeight="false" outlineLevel="0" collapsed="false"/>
    <row r="1773" customFormat="false" ht="15" hidden="false" customHeight="false" outlineLevel="0" collapsed="false"/>
    <row r="1774" customFormat="false" ht="15" hidden="false" customHeight="false" outlineLevel="0" collapsed="false"/>
    <row r="1775" customFormat="false" ht="15" hidden="false" customHeight="false" outlineLevel="0" collapsed="false"/>
    <row r="1776" customFormat="false" ht="15" hidden="false" customHeight="false" outlineLevel="0" collapsed="false"/>
    <row r="1777" customFormat="false" ht="15" hidden="false" customHeight="false" outlineLevel="0" collapsed="false"/>
    <row r="1778" customFormat="false" ht="15" hidden="false" customHeight="false" outlineLevel="0" collapsed="false"/>
    <row r="1779" customFormat="false" ht="15" hidden="false" customHeight="false" outlineLevel="0" collapsed="false"/>
    <row r="1780" customFormat="false" ht="15" hidden="false" customHeight="false" outlineLevel="0" collapsed="false"/>
    <row r="1781" customFormat="false" ht="15" hidden="false" customHeight="false" outlineLevel="0" collapsed="false"/>
    <row r="1782" customFormat="false" ht="15" hidden="false" customHeight="false" outlineLevel="0" collapsed="false"/>
    <row r="1783" customFormat="false" ht="15" hidden="false" customHeight="false" outlineLevel="0" collapsed="false"/>
    <row r="1784" customFormat="false" ht="15" hidden="false" customHeight="false" outlineLevel="0" collapsed="false"/>
    <row r="1785" customFormat="false" ht="15" hidden="false" customHeight="false" outlineLevel="0" collapsed="false"/>
    <row r="1786" customFormat="false" ht="15" hidden="false" customHeight="false" outlineLevel="0" collapsed="false"/>
    <row r="1787" customFormat="false" ht="15" hidden="false" customHeight="false" outlineLevel="0" collapsed="false"/>
    <row r="1788" customFormat="false" ht="15" hidden="false" customHeight="false" outlineLevel="0" collapsed="false"/>
    <row r="1789" customFormat="false" ht="15" hidden="false" customHeight="false" outlineLevel="0" collapsed="false"/>
    <row r="1790" customFormat="false" ht="15" hidden="false" customHeight="false" outlineLevel="0" collapsed="false"/>
    <row r="1791" customFormat="false" ht="15" hidden="false" customHeight="false" outlineLevel="0" collapsed="false"/>
    <row r="1792" customFormat="false" ht="15" hidden="false" customHeight="false" outlineLevel="0" collapsed="false"/>
    <row r="1793" customFormat="false" ht="15" hidden="false" customHeight="false" outlineLevel="0" collapsed="false"/>
    <row r="1794" customFormat="false" ht="15" hidden="false" customHeight="false" outlineLevel="0" collapsed="false"/>
    <row r="1795" customFormat="false" ht="15" hidden="false" customHeight="false" outlineLevel="0" collapsed="false"/>
    <row r="1796" customFormat="false" ht="15" hidden="false" customHeight="false" outlineLevel="0" collapsed="false"/>
    <row r="1797" customFormat="false" ht="15" hidden="false" customHeight="false" outlineLevel="0" collapsed="false"/>
    <row r="1798" customFormat="false" ht="15" hidden="false" customHeight="false" outlineLevel="0" collapsed="false"/>
    <row r="1799" customFormat="false" ht="15" hidden="false" customHeight="false" outlineLevel="0" collapsed="false"/>
    <row r="1800" customFormat="false" ht="15" hidden="false" customHeight="false" outlineLevel="0" collapsed="false"/>
    <row r="1801" customFormat="false" ht="15" hidden="false" customHeight="false" outlineLevel="0" collapsed="false"/>
    <row r="1802" customFormat="false" ht="15" hidden="false" customHeight="false" outlineLevel="0" collapsed="false"/>
    <row r="1803" customFormat="false" ht="15" hidden="false" customHeight="false" outlineLevel="0" collapsed="false"/>
    <row r="1804" customFormat="false" ht="15" hidden="false" customHeight="false" outlineLevel="0" collapsed="false"/>
    <row r="1805" customFormat="false" ht="15" hidden="false" customHeight="false" outlineLevel="0" collapsed="false"/>
    <row r="1806" customFormat="false" ht="15" hidden="false" customHeight="false" outlineLevel="0" collapsed="false"/>
    <row r="1807" customFormat="false" ht="15" hidden="false" customHeight="false" outlineLevel="0" collapsed="false"/>
    <row r="1808" customFormat="false" ht="15" hidden="false" customHeight="false" outlineLevel="0" collapsed="false"/>
    <row r="1809" customFormat="false" ht="15" hidden="false" customHeight="false" outlineLevel="0" collapsed="false"/>
    <row r="1810" customFormat="false" ht="15" hidden="false" customHeight="false" outlineLevel="0" collapsed="false"/>
    <row r="1811" customFormat="false" ht="15" hidden="false" customHeight="false" outlineLevel="0" collapsed="false"/>
    <row r="1812" customFormat="false" ht="15" hidden="false" customHeight="false" outlineLevel="0" collapsed="false"/>
    <row r="1813" customFormat="false" ht="15" hidden="false" customHeight="false" outlineLevel="0" collapsed="false"/>
    <row r="1814" customFormat="false" ht="15" hidden="false" customHeight="false" outlineLevel="0" collapsed="false"/>
    <row r="1815" customFormat="false" ht="15" hidden="false" customHeight="false" outlineLevel="0" collapsed="false"/>
    <row r="1816" customFormat="false" ht="15" hidden="false" customHeight="false" outlineLevel="0" collapsed="false"/>
    <row r="1817" customFormat="false" ht="15" hidden="false" customHeight="false" outlineLevel="0" collapsed="false"/>
    <row r="1818" customFormat="false" ht="15" hidden="false" customHeight="false" outlineLevel="0" collapsed="false"/>
    <row r="1819" customFormat="false" ht="15" hidden="false" customHeight="false" outlineLevel="0" collapsed="false"/>
    <row r="1820" customFormat="false" ht="15" hidden="false" customHeight="false" outlineLevel="0" collapsed="false"/>
    <row r="1821" customFormat="false" ht="15" hidden="false" customHeight="false" outlineLevel="0" collapsed="false"/>
    <row r="1822" customFormat="false" ht="15" hidden="false" customHeight="false" outlineLevel="0" collapsed="false"/>
    <row r="1823" customFormat="false" ht="15" hidden="false" customHeight="false" outlineLevel="0" collapsed="false"/>
    <row r="1824" customFormat="false" ht="15" hidden="false" customHeight="false" outlineLevel="0" collapsed="false"/>
    <row r="1825" customFormat="false" ht="15" hidden="false" customHeight="false" outlineLevel="0" collapsed="false"/>
    <row r="1826" customFormat="false" ht="15" hidden="false" customHeight="false" outlineLevel="0" collapsed="false"/>
    <row r="1827" customFormat="false" ht="15" hidden="false" customHeight="false" outlineLevel="0" collapsed="false"/>
    <row r="1828" customFormat="false" ht="15" hidden="false" customHeight="false" outlineLevel="0" collapsed="false"/>
    <row r="1829" customFormat="false" ht="15" hidden="false" customHeight="false" outlineLevel="0" collapsed="false"/>
    <row r="1830" customFormat="false" ht="15" hidden="false" customHeight="false" outlineLevel="0" collapsed="false"/>
    <row r="1831" customFormat="false" ht="15" hidden="false" customHeight="false" outlineLevel="0" collapsed="false"/>
    <row r="1832" customFormat="false" ht="15" hidden="false" customHeight="false" outlineLevel="0" collapsed="false"/>
    <row r="1833" customFormat="false" ht="15" hidden="false" customHeight="false" outlineLevel="0" collapsed="false"/>
    <row r="1834" customFormat="false" ht="15" hidden="false" customHeight="false" outlineLevel="0" collapsed="false"/>
    <row r="1835" customFormat="false" ht="15" hidden="false" customHeight="false" outlineLevel="0" collapsed="false"/>
    <row r="1836" customFormat="false" ht="15" hidden="false" customHeight="false" outlineLevel="0" collapsed="false"/>
    <row r="1837" customFormat="false" ht="15" hidden="false" customHeight="false" outlineLevel="0" collapsed="false"/>
    <row r="1838" customFormat="false" ht="15" hidden="false" customHeight="false" outlineLevel="0" collapsed="false"/>
    <row r="1839" customFormat="false" ht="15" hidden="false" customHeight="false" outlineLevel="0" collapsed="false"/>
    <row r="1840" customFormat="false" ht="15" hidden="false" customHeight="false" outlineLevel="0" collapsed="false"/>
    <row r="1841" customFormat="false" ht="15" hidden="false" customHeight="false" outlineLevel="0" collapsed="false"/>
    <row r="1842" customFormat="false" ht="15" hidden="false" customHeight="false" outlineLevel="0" collapsed="false"/>
    <row r="1843" customFormat="false" ht="15" hidden="false" customHeight="false" outlineLevel="0" collapsed="false"/>
    <row r="1844" customFormat="false" ht="15" hidden="false" customHeight="false" outlineLevel="0" collapsed="false"/>
    <row r="1845" customFormat="false" ht="15" hidden="false" customHeight="false" outlineLevel="0" collapsed="false"/>
    <row r="1846" customFormat="false" ht="15" hidden="false" customHeight="false" outlineLevel="0" collapsed="false"/>
    <row r="1847" customFormat="false" ht="15" hidden="false" customHeight="false" outlineLevel="0" collapsed="false"/>
    <row r="1848" customFormat="false" ht="15" hidden="false" customHeight="false" outlineLevel="0" collapsed="false"/>
    <row r="1849" customFormat="false" ht="15" hidden="false" customHeight="false" outlineLevel="0" collapsed="false"/>
    <row r="1850" customFormat="false" ht="15" hidden="false" customHeight="false" outlineLevel="0" collapsed="false"/>
    <row r="1851" customFormat="false" ht="15" hidden="false" customHeight="false" outlineLevel="0" collapsed="false"/>
    <row r="1852" customFormat="false" ht="15" hidden="false" customHeight="false" outlineLevel="0" collapsed="false"/>
    <row r="1853" customFormat="false" ht="15" hidden="false" customHeight="false" outlineLevel="0" collapsed="false"/>
    <row r="1854" customFormat="false" ht="15" hidden="false" customHeight="false" outlineLevel="0" collapsed="false"/>
    <row r="1855" customFormat="false" ht="15" hidden="false" customHeight="false" outlineLevel="0" collapsed="false"/>
    <row r="1856" customFormat="false" ht="15" hidden="false" customHeight="false" outlineLevel="0" collapsed="false"/>
    <row r="1857" customFormat="false" ht="15" hidden="false" customHeight="false" outlineLevel="0" collapsed="false"/>
    <row r="1858" customFormat="false" ht="15" hidden="false" customHeight="false" outlineLevel="0" collapsed="false"/>
    <row r="1859" customFormat="false" ht="15" hidden="false" customHeight="false" outlineLevel="0" collapsed="false"/>
    <row r="1860" customFormat="false" ht="15" hidden="false" customHeight="false" outlineLevel="0" collapsed="false"/>
    <row r="1861" customFormat="false" ht="15" hidden="false" customHeight="false" outlineLevel="0" collapsed="false"/>
    <row r="1862" customFormat="false" ht="15" hidden="false" customHeight="false" outlineLevel="0" collapsed="false"/>
    <row r="1863" customFormat="false" ht="15" hidden="false" customHeight="false" outlineLevel="0" collapsed="false"/>
    <row r="1864" customFormat="false" ht="15" hidden="false" customHeight="false" outlineLevel="0" collapsed="false"/>
    <row r="1865" customFormat="false" ht="15" hidden="false" customHeight="false" outlineLevel="0" collapsed="false"/>
    <row r="1866" customFormat="false" ht="15" hidden="false" customHeight="false" outlineLevel="0" collapsed="false"/>
    <row r="1867" customFormat="false" ht="15" hidden="false" customHeight="false" outlineLevel="0" collapsed="false"/>
    <row r="1868" customFormat="false" ht="15" hidden="false" customHeight="false" outlineLevel="0" collapsed="false"/>
    <row r="1869" customFormat="false" ht="15" hidden="false" customHeight="false" outlineLevel="0" collapsed="false"/>
    <row r="1870" customFormat="false" ht="15" hidden="false" customHeight="false" outlineLevel="0" collapsed="false"/>
    <row r="1871" customFormat="false" ht="15" hidden="false" customHeight="false" outlineLevel="0" collapsed="false"/>
    <row r="1872" customFormat="false" ht="15" hidden="false" customHeight="false" outlineLevel="0" collapsed="false"/>
    <row r="1873" customFormat="false" ht="15" hidden="false" customHeight="false" outlineLevel="0" collapsed="false"/>
    <row r="1874" customFormat="false" ht="15" hidden="false" customHeight="false" outlineLevel="0" collapsed="false"/>
    <row r="1875" customFormat="false" ht="15" hidden="false" customHeight="false" outlineLevel="0" collapsed="false"/>
    <row r="1876" customFormat="false" ht="15" hidden="false" customHeight="false" outlineLevel="0" collapsed="false"/>
    <row r="1877" customFormat="false" ht="15" hidden="false" customHeight="false" outlineLevel="0" collapsed="false"/>
    <row r="1878" customFormat="false" ht="15" hidden="false" customHeight="false" outlineLevel="0" collapsed="false"/>
    <row r="1879" customFormat="false" ht="15" hidden="false" customHeight="false" outlineLevel="0" collapsed="false"/>
    <row r="1880" customFormat="false" ht="15" hidden="false" customHeight="false" outlineLevel="0" collapsed="false"/>
    <row r="1881" customFormat="false" ht="15" hidden="false" customHeight="false" outlineLevel="0" collapsed="false"/>
    <row r="1882" customFormat="false" ht="15" hidden="false" customHeight="false" outlineLevel="0" collapsed="false"/>
    <row r="1883" customFormat="false" ht="15" hidden="false" customHeight="false" outlineLevel="0" collapsed="false"/>
    <row r="1884" customFormat="false" ht="15" hidden="false" customHeight="false" outlineLevel="0" collapsed="false"/>
    <row r="1885" customFormat="false" ht="15" hidden="false" customHeight="false" outlineLevel="0" collapsed="false"/>
    <row r="1886" customFormat="false" ht="15" hidden="false" customHeight="false" outlineLevel="0" collapsed="false"/>
    <row r="1887" customFormat="false" ht="15" hidden="false" customHeight="false" outlineLevel="0" collapsed="false"/>
    <row r="1888" customFormat="false" ht="15" hidden="false" customHeight="false" outlineLevel="0" collapsed="false"/>
    <row r="1889" customFormat="false" ht="15" hidden="false" customHeight="false" outlineLevel="0" collapsed="false"/>
    <row r="1890" customFormat="false" ht="15" hidden="false" customHeight="false" outlineLevel="0" collapsed="false"/>
    <row r="1891" customFormat="false" ht="15" hidden="false" customHeight="false" outlineLevel="0" collapsed="false"/>
    <row r="1892" customFormat="false" ht="15" hidden="false" customHeight="false" outlineLevel="0" collapsed="false"/>
    <row r="1893" customFormat="false" ht="15" hidden="false" customHeight="false" outlineLevel="0" collapsed="false"/>
    <row r="1894" customFormat="false" ht="15" hidden="false" customHeight="false" outlineLevel="0" collapsed="false"/>
    <row r="1895" customFormat="false" ht="15" hidden="false" customHeight="false" outlineLevel="0" collapsed="false"/>
    <row r="1896" customFormat="false" ht="15" hidden="false" customHeight="false" outlineLevel="0" collapsed="false"/>
    <row r="1897" customFormat="false" ht="15" hidden="false" customHeight="false" outlineLevel="0" collapsed="false"/>
    <row r="1898" customFormat="false" ht="15" hidden="false" customHeight="false" outlineLevel="0" collapsed="false"/>
    <row r="1899" customFormat="false" ht="15" hidden="false" customHeight="false" outlineLevel="0" collapsed="false"/>
    <row r="1900" customFormat="false" ht="15" hidden="false" customHeight="false" outlineLevel="0" collapsed="false"/>
    <row r="1901" customFormat="false" ht="15" hidden="false" customHeight="false" outlineLevel="0" collapsed="false"/>
    <row r="1902" customFormat="false" ht="15" hidden="false" customHeight="false" outlineLevel="0" collapsed="false"/>
    <row r="1903" customFormat="false" ht="15" hidden="false" customHeight="false" outlineLevel="0" collapsed="false"/>
    <row r="1904" customFormat="false" ht="15" hidden="false" customHeight="false" outlineLevel="0" collapsed="false"/>
    <row r="1905" customFormat="false" ht="15" hidden="false" customHeight="false" outlineLevel="0" collapsed="false"/>
    <row r="1906" customFormat="false" ht="15" hidden="false" customHeight="false" outlineLevel="0" collapsed="false"/>
    <row r="1907" customFormat="false" ht="15" hidden="false" customHeight="false" outlineLevel="0" collapsed="false"/>
    <row r="1908" customFormat="false" ht="15" hidden="false" customHeight="false" outlineLevel="0" collapsed="false"/>
    <row r="1909" customFormat="false" ht="15" hidden="false" customHeight="false" outlineLevel="0" collapsed="false"/>
    <row r="1910" customFormat="false" ht="15" hidden="false" customHeight="false" outlineLevel="0" collapsed="false"/>
    <row r="1911" customFormat="false" ht="15" hidden="false" customHeight="false" outlineLevel="0" collapsed="false"/>
    <row r="1912" customFormat="false" ht="15" hidden="false" customHeight="false" outlineLevel="0" collapsed="false"/>
    <row r="1913" customFormat="false" ht="15" hidden="false" customHeight="false" outlineLevel="0" collapsed="false"/>
    <row r="1914" customFormat="false" ht="15" hidden="false" customHeight="false" outlineLevel="0" collapsed="false"/>
    <row r="1915" customFormat="false" ht="15" hidden="false" customHeight="false" outlineLevel="0" collapsed="false"/>
    <row r="1916" customFormat="false" ht="15" hidden="false" customHeight="false" outlineLevel="0" collapsed="false"/>
    <row r="1917" customFormat="false" ht="15" hidden="false" customHeight="false" outlineLevel="0" collapsed="false"/>
    <row r="1918" customFormat="false" ht="15" hidden="false" customHeight="false" outlineLevel="0" collapsed="false"/>
    <row r="1919" customFormat="false" ht="15" hidden="false" customHeight="false" outlineLevel="0" collapsed="false"/>
    <row r="1920" customFormat="false" ht="15" hidden="false" customHeight="false" outlineLevel="0" collapsed="false"/>
    <row r="1921" customFormat="false" ht="15" hidden="false" customHeight="false" outlineLevel="0" collapsed="false"/>
    <row r="1922" customFormat="false" ht="15" hidden="false" customHeight="false" outlineLevel="0" collapsed="false"/>
    <row r="1923" customFormat="false" ht="15" hidden="false" customHeight="false" outlineLevel="0" collapsed="false"/>
    <row r="1924" customFormat="false" ht="15" hidden="false" customHeight="false" outlineLevel="0" collapsed="false"/>
    <row r="1925" customFormat="false" ht="15" hidden="false" customHeight="false" outlineLevel="0" collapsed="false"/>
    <row r="1926" customFormat="false" ht="15" hidden="false" customHeight="false" outlineLevel="0" collapsed="false"/>
    <row r="1927" customFormat="false" ht="15" hidden="false" customHeight="false" outlineLevel="0" collapsed="false"/>
    <row r="1928" customFormat="false" ht="15" hidden="false" customHeight="false" outlineLevel="0" collapsed="false"/>
    <row r="1929" customFormat="false" ht="15" hidden="false" customHeight="false" outlineLevel="0" collapsed="false"/>
    <row r="1930" customFormat="false" ht="15" hidden="false" customHeight="false" outlineLevel="0" collapsed="false"/>
    <row r="1931" customFormat="false" ht="15" hidden="false" customHeight="false" outlineLevel="0" collapsed="false"/>
    <row r="1932" customFormat="false" ht="15" hidden="false" customHeight="false" outlineLevel="0" collapsed="false"/>
    <row r="1933" customFormat="false" ht="15" hidden="false" customHeight="false" outlineLevel="0" collapsed="false"/>
    <row r="1934" customFormat="false" ht="15" hidden="false" customHeight="false" outlineLevel="0" collapsed="false"/>
    <row r="1935" customFormat="false" ht="15" hidden="false" customHeight="false" outlineLevel="0" collapsed="false"/>
    <row r="1936" customFormat="false" ht="15" hidden="false" customHeight="false" outlineLevel="0" collapsed="false"/>
    <row r="1937" customFormat="false" ht="15" hidden="false" customHeight="false" outlineLevel="0" collapsed="false"/>
    <row r="1938" customFormat="false" ht="15" hidden="false" customHeight="false" outlineLevel="0" collapsed="false"/>
    <row r="1939" customFormat="false" ht="15" hidden="false" customHeight="false" outlineLevel="0" collapsed="false"/>
    <row r="1940" customFormat="false" ht="15" hidden="false" customHeight="false" outlineLevel="0" collapsed="false"/>
    <row r="1941" customFormat="false" ht="15" hidden="false" customHeight="false" outlineLevel="0" collapsed="false"/>
    <row r="1942" customFormat="false" ht="15" hidden="false" customHeight="false" outlineLevel="0" collapsed="false"/>
    <row r="1943" customFormat="false" ht="15" hidden="false" customHeight="false" outlineLevel="0" collapsed="false"/>
    <row r="1944" customFormat="false" ht="15" hidden="false" customHeight="false" outlineLevel="0" collapsed="false"/>
    <row r="1945" customFormat="false" ht="15" hidden="false" customHeight="false" outlineLevel="0" collapsed="false"/>
    <row r="1946" customFormat="false" ht="15" hidden="false" customHeight="false" outlineLevel="0" collapsed="false"/>
    <row r="1947" customFormat="false" ht="15" hidden="false" customHeight="false" outlineLevel="0" collapsed="false"/>
    <row r="1948" customFormat="false" ht="15" hidden="false" customHeight="false" outlineLevel="0" collapsed="false"/>
    <row r="1949" customFormat="false" ht="15" hidden="false" customHeight="false" outlineLevel="0" collapsed="false"/>
    <row r="1950" customFormat="false" ht="15" hidden="false" customHeight="false" outlineLevel="0" collapsed="false"/>
    <row r="1951" customFormat="false" ht="15" hidden="false" customHeight="false" outlineLevel="0" collapsed="false"/>
    <row r="1952" customFormat="false" ht="15" hidden="false" customHeight="false" outlineLevel="0" collapsed="false"/>
    <row r="1953" customFormat="false" ht="15" hidden="false" customHeight="false" outlineLevel="0" collapsed="false"/>
    <row r="1954" customFormat="false" ht="15" hidden="false" customHeight="false" outlineLevel="0" collapsed="false"/>
    <row r="1955" customFormat="false" ht="15" hidden="false" customHeight="false" outlineLevel="0" collapsed="false"/>
    <row r="1956" customFormat="false" ht="15" hidden="false" customHeight="false" outlineLevel="0" collapsed="false"/>
    <row r="1957" customFormat="false" ht="15" hidden="false" customHeight="false" outlineLevel="0" collapsed="false"/>
    <row r="1958" customFormat="false" ht="15" hidden="false" customHeight="false" outlineLevel="0" collapsed="false"/>
    <row r="1959" customFormat="false" ht="15" hidden="false" customHeight="false" outlineLevel="0" collapsed="false"/>
    <row r="1960" customFormat="false" ht="15" hidden="false" customHeight="false" outlineLevel="0" collapsed="false"/>
    <row r="1961" customFormat="false" ht="15" hidden="false" customHeight="false" outlineLevel="0" collapsed="false"/>
    <row r="1962" customFormat="false" ht="15" hidden="false" customHeight="false" outlineLevel="0" collapsed="false"/>
    <row r="1963" customFormat="false" ht="15" hidden="false" customHeight="false" outlineLevel="0" collapsed="false"/>
    <row r="1964" customFormat="false" ht="15" hidden="false" customHeight="false" outlineLevel="0" collapsed="false"/>
    <row r="1965" customFormat="false" ht="15" hidden="false" customHeight="false" outlineLevel="0" collapsed="false"/>
    <row r="1966" customFormat="false" ht="15" hidden="false" customHeight="false" outlineLevel="0" collapsed="false"/>
    <row r="1967" customFormat="false" ht="15" hidden="false" customHeight="false" outlineLevel="0" collapsed="false"/>
    <row r="1968" customFormat="false" ht="15" hidden="false" customHeight="false" outlineLevel="0" collapsed="false"/>
    <row r="1969" customFormat="false" ht="15" hidden="false" customHeight="false" outlineLevel="0" collapsed="false"/>
    <row r="1970" customFormat="false" ht="15" hidden="false" customHeight="false" outlineLevel="0" collapsed="false"/>
    <row r="1971" customFormat="false" ht="15" hidden="false" customHeight="false" outlineLevel="0" collapsed="false"/>
    <row r="1972" customFormat="false" ht="15" hidden="false" customHeight="false" outlineLevel="0" collapsed="false"/>
    <row r="1973" customFormat="false" ht="15" hidden="false" customHeight="false" outlineLevel="0" collapsed="false"/>
    <row r="1974" customFormat="false" ht="15" hidden="false" customHeight="false" outlineLevel="0" collapsed="false"/>
    <row r="1975" customFormat="false" ht="15" hidden="false" customHeight="false" outlineLevel="0" collapsed="false"/>
    <row r="1976" customFormat="false" ht="15" hidden="false" customHeight="false" outlineLevel="0" collapsed="false"/>
    <row r="1977" customFormat="false" ht="15" hidden="false" customHeight="false" outlineLevel="0" collapsed="false"/>
    <row r="1978" customFormat="false" ht="15" hidden="false" customHeight="false" outlineLevel="0" collapsed="false"/>
    <row r="1979" customFormat="false" ht="15" hidden="false" customHeight="false" outlineLevel="0" collapsed="false"/>
    <row r="1980" customFormat="false" ht="15" hidden="false" customHeight="false" outlineLevel="0" collapsed="false"/>
    <row r="1981" customFormat="false" ht="15" hidden="false" customHeight="false" outlineLevel="0" collapsed="false"/>
    <row r="1982" customFormat="false" ht="15" hidden="false" customHeight="false" outlineLevel="0" collapsed="false"/>
    <row r="1983" customFormat="false" ht="15" hidden="false" customHeight="false" outlineLevel="0" collapsed="false"/>
    <row r="1984" customFormat="false" ht="15" hidden="false" customHeight="false" outlineLevel="0" collapsed="false"/>
    <row r="1985" customFormat="false" ht="15" hidden="false" customHeight="false" outlineLevel="0" collapsed="false"/>
    <row r="1986" customFormat="false" ht="15" hidden="false" customHeight="false" outlineLevel="0" collapsed="false"/>
    <row r="1987" customFormat="false" ht="15" hidden="false" customHeight="false" outlineLevel="0" collapsed="false"/>
    <row r="1988" customFormat="false" ht="15" hidden="false" customHeight="false" outlineLevel="0" collapsed="false"/>
    <row r="1989" customFormat="false" ht="15" hidden="false" customHeight="false" outlineLevel="0" collapsed="false"/>
    <row r="1990" customFormat="false" ht="15" hidden="false" customHeight="false" outlineLevel="0" collapsed="false"/>
    <row r="1991" customFormat="false" ht="15" hidden="false" customHeight="false" outlineLevel="0" collapsed="false"/>
    <row r="1992" customFormat="false" ht="15" hidden="false" customHeight="false" outlineLevel="0" collapsed="false"/>
    <row r="1993" customFormat="false" ht="15" hidden="false" customHeight="false" outlineLevel="0" collapsed="false"/>
    <row r="1994" customFormat="false" ht="15" hidden="false" customHeight="false" outlineLevel="0" collapsed="false"/>
    <row r="1995" customFormat="false" ht="15" hidden="false" customHeight="false" outlineLevel="0" collapsed="false"/>
    <row r="1996" customFormat="false" ht="15" hidden="false" customHeight="false" outlineLevel="0" collapsed="false"/>
    <row r="1997" customFormat="false" ht="15" hidden="false" customHeight="false" outlineLevel="0" collapsed="false"/>
    <row r="1998" customFormat="false" ht="15" hidden="false" customHeight="false" outlineLevel="0" collapsed="false"/>
    <row r="1999" customFormat="false" ht="15" hidden="false" customHeight="false" outlineLevel="0" collapsed="false"/>
    <row r="2000" customFormat="false" ht="15" hidden="false" customHeight="false" outlineLevel="0" collapsed="false"/>
    <row r="2001" customFormat="false" ht="15" hidden="false" customHeight="false" outlineLevel="0" collapsed="false"/>
    <row r="2002" customFormat="false" ht="15" hidden="false" customHeight="false" outlineLevel="0" collapsed="false"/>
    <row r="2003" customFormat="false" ht="15" hidden="false" customHeight="false" outlineLevel="0" collapsed="false"/>
    <row r="2004" customFormat="false" ht="15" hidden="false" customHeight="false" outlineLevel="0" collapsed="false"/>
    <row r="2005" customFormat="false" ht="15" hidden="false" customHeight="false" outlineLevel="0" collapsed="false"/>
    <row r="2006" customFormat="false" ht="15" hidden="false" customHeight="false" outlineLevel="0" collapsed="false"/>
    <row r="2007" customFormat="false" ht="15" hidden="false" customHeight="false" outlineLevel="0" collapsed="false"/>
    <row r="2008" customFormat="false" ht="15" hidden="false" customHeight="false" outlineLevel="0" collapsed="false"/>
    <row r="2009" customFormat="false" ht="15" hidden="false" customHeight="false" outlineLevel="0" collapsed="false"/>
    <row r="2010" customFormat="false" ht="15" hidden="false" customHeight="false" outlineLevel="0" collapsed="false"/>
    <row r="2011" customFormat="false" ht="15" hidden="false" customHeight="false" outlineLevel="0" collapsed="false"/>
    <row r="2012" customFormat="false" ht="15" hidden="false" customHeight="false" outlineLevel="0" collapsed="false"/>
    <row r="2013" customFormat="false" ht="15" hidden="false" customHeight="false" outlineLevel="0" collapsed="false"/>
    <row r="2014" customFormat="false" ht="15" hidden="false" customHeight="false" outlineLevel="0" collapsed="false"/>
    <row r="2015" customFormat="false" ht="15" hidden="false" customHeight="false" outlineLevel="0" collapsed="false"/>
    <row r="2016" customFormat="false" ht="15" hidden="false" customHeight="false" outlineLevel="0" collapsed="false"/>
    <row r="2017" customFormat="false" ht="15" hidden="false" customHeight="false" outlineLevel="0" collapsed="false"/>
    <row r="2018" customFormat="false" ht="15" hidden="false" customHeight="false" outlineLevel="0" collapsed="false"/>
    <row r="2019" customFormat="false" ht="15" hidden="false" customHeight="false" outlineLevel="0" collapsed="false"/>
    <row r="2020" customFormat="false" ht="15" hidden="false" customHeight="false" outlineLevel="0" collapsed="false"/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5" hidden="false" customHeight="false" outlineLevel="0" collapsed="false"/>
    <row r="2025" customFormat="false" ht="15" hidden="false" customHeight="false" outlineLevel="0" collapsed="false"/>
    <row r="2026" customFormat="false" ht="15" hidden="false" customHeight="false" outlineLevel="0" collapsed="false"/>
    <row r="2027" customFormat="false" ht="15" hidden="false" customHeight="false" outlineLevel="0" collapsed="false"/>
    <row r="2028" customFormat="false" ht="15" hidden="false" customHeight="false" outlineLevel="0" collapsed="false"/>
    <row r="2029" customFormat="false" ht="15" hidden="false" customHeight="false" outlineLevel="0" collapsed="false"/>
    <row r="2030" customFormat="false" ht="15" hidden="false" customHeight="false" outlineLevel="0" collapsed="false"/>
    <row r="2031" customFormat="false" ht="15" hidden="false" customHeight="false" outlineLevel="0" collapsed="false"/>
    <row r="2032" customFormat="false" ht="15" hidden="false" customHeight="false" outlineLevel="0" collapsed="false"/>
    <row r="2033" customFormat="false" ht="15" hidden="false" customHeight="false" outlineLevel="0" collapsed="false"/>
    <row r="2034" customFormat="false" ht="15" hidden="false" customHeight="false" outlineLevel="0" collapsed="false"/>
    <row r="2035" customFormat="false" ht="15" hidden="false" customHeight="false" outlineLevel="0" collapsed="false"/>
    <row r="2036" customFormat="false" ht="15" hidden="false" customHeight="false" outlineLevel="0" collapsed="false"/>
    <row r="2037" customFormat="false" ht="15" hidden="false" customHeight="false" outlineLevel="0" collapsed="false"/>
    <row r="2038" customFormat="false" ht="15" hidden="false" customHeight="false" outlineLevel="0" collapsed="false"/>
    <row r="2039" customFormat="false" ht="15" hidden="false" customHeight="false" outlineLevel="0" collapsed="false"/>
    <row r="2040" customFormat="false" ht="15" hidden="false" customHeight="false" outlineLevel="0" collapsed="false"/>
    <row r="2041" customFormat="false" ht="15" hidden="false" customHeight="false" outlineLevel="0" collapsed="false"/>
    <row r="2042" customFormat="false" ht="15" hidden="false" customHeight="false" outlineLevel="0" collapsed="false"/>
    <row r="2043" customFormat="false" ht="15" hidden="false" customHeight="false" outlineLevel="0" collapsed="false"/>
    <row r="2044" customFormat="false" ht="15" hidden="false" customHeight="false" outlineLevel="0" collapsed="false"/>
    <row r="2045" customFormat="false" ht="15" hidden="false" customHeight="false" outlineLevel="0" collapsed="false"/>
    <row r="2046" customFormat="false" ht="15" hidden="false" customHeight="false" outlineLevel="0" collapsed="false"/>
    <row r="2047" customFormat="false" ht="15" hidden="false" customHeight="false" outlineLevel="0" collapsed="false"/>
    <row r="2048" customFormat="false" ht="15" hidden="false" customHeight="false" outlineLevel="0" collapsed="false"/>
    <row r="2049" customFormat="false" ht="15" hidden="false" customHeight="false" outlineLevel="0" collapsed="false"/>
    <row r="2050" customFormat="false" ht="15" hidden="false" customHeight="false" outlineLevel="0" collapsed="false"/>
    <row r="2051" customFormat="false" ht="15" hidden="false" customHeight="false" outlineLevel="0" collapsed="false"/>
    <row r="2052" customFormat="false" ht="15" hidden="false" customHeight="false" outlineLevel="0" collapsed="false"/>
    <row r="2053" customFormat="false" ht="15" hidden="false" customHeight="false" outlineLevel="0" collapsed="false"/>
    <row r="2054" customFormat="false" ht="15" hidden="false" customHeight="false" outlineLevel="0" collapsed="false"/>
    <row r="2055" customFormat="false" ht="15" hidden="false" customHeight="false" outlineLevel="0" collapsed="false"/>
    <row r="2056" customFormat="false" ht="15" hidden="false" customHeight="false" outlineLevel="0" collapsed="false"/>
    <row r="2057" customFormat="false" ht="15" hidden="false" customHeight="false" outlineLevel="0" collapsed="false"/>
    <row r="2058" customFormat="false" ht="15" hidden="false" customHeight="false" outlineLevel="0" collapsed="false"/>
    <row r="2059" customFormat="false" ht="15" hidden="false" customHeight="false" outlineLevel="0" collapsed="false"/>
    <row r="2060" customFormat="false" ht="15" hidden="false" customHeight="false" outlineLevel="0" collapsed="false"/>
    <row r="2061" customFormat="false" ht="15" hidden="false" customHeight="false" outlineLevel="0" collapsed="false"/>
    <row r="2062" customFormat="false" ht="15" hidden="false" customHeight="false" outlineLevel="0" collapsed="false"/>
    <row r="2063" customFormat="false" ht="15" hidden="false" customHeight="false" outlineLevel="0" collapsed="false"/>
    <row r="2064" customFormat="false" ht="15" hidden="false" customHeight="false" outlineLevel="0" collapsed="false"/>
    <row r="2065" customFormat="false" ht="15" hidden="false" customHeight="false" outlineLevel="0" collapsed="false"/>
    <row r="2066" customFormat="false" ht="15" hidden="false" customHeight="false" outlineLevel="0" collapsed="false"/>
    <row r="2067" customFormat="false" ht="15" hidden="false" customHeight="false" outlineLevel="0" collapsed="false"/>
    <row r="2068" customFormat="false" ht="15" hidden="false" customHeight="false" outlineLevel="0" collapsed="false"/>
    <row r="2069" customFormat="false" ht="15" hidden="false" customHeight="false" outlineLevel="0" collapsed="false"/>
    <row r="2070" customFormat="false" ht="15" hidden="false" customHeight="false" outlineLevel="0" collapsed="false"/>
    <row r="2071" customFormat="false" ht="15" hidden="false" customHeight="false" outlineLevel="0" collapsed="false"/>
    <row r="2072" customFormat="false" ht="15" hidden="false" customHeight="false" outlineLevel="0" collapsed="false"/>
    <row r="2073" customFormat="false" ht="15" hidden="false" customHeight="false" outlineLevel="0" collapsed="false"/>
    <row r="2074" customFormat="false" ht="15" hidden="false" customHeight="false" outlineLevel="0" collapsed="false"/>
    <row r="2075" customFormat="false" ht="15" hidden="false" customHeight="false" outlineLevel="0" collapsed="false"/>
    <row r="2076" customFormat="false" ht="15" hidden="false" customHeight="false" outlineLevel="0" collapsed="false"/>
    <row r="2077" customFormat="false" ht="15" hidden="false" customHeight="false" outlineLevel="0" collapsed="false"/>
    <row r="2078" customFormat="false" ht="15" hidden="false" customHeight="false" outlineLevel="0" collapsed="false"/>
    <row r="2079" customFormat="false" ht="15" hidden="false" customHeight="false" outlineLevel="0" collapsed="false"/>
    <row r="2080" customFormat="false" ht="15" hidden="false" customHeight="false" outlineLevel="0" collapsed="false"/>
    <row r="2081" customFormat="false" ht="15" hidden="false" customHeight="false" outlineLevel="0" collapsed="false"/>
    <row r="2082" customFormat="false" ht="15" hidden="false" customHeight="false" outlineLevel="0" collapsed="false"/>
    <row r="2083" customFormat="false" ht="15" hidden="false" customHeight="false" outlineLevel="0" collapsed="false"/>
    <row r="2084" customFormat="false" ht="15" hidden="false" customHeight="false" outlineLevel="0" collapsed="false"/>
    <row r="2085" customFormat="false" ht="15" hidden="false" customHeight="false" outlineLevel="0" collapsed="false"/>
    <row r="2086" customFormat="false" ht="15" hidden="false" customHeight="false" outlineLevel="0" collapsed="false"/>
    <row r="2087" customFormat="false" ht="15" hidden="false" customHeight="false" outlineLevel="0" collapsed="false"/>
    <row r="2088" customFormat="false" ht="15" hidden="false" customHeight="false" outlineLevel="0" collapsed="false"/>
    <row r="2089" customFormat="false" ht="15" hidden="false" customHeight="false" outlineLevel="0" collapsed="false"/>
    <row r="2090" customFormat="false" ht="15" hidden="false" customHeight="false" outlineLevel="0" collapsed="false"/>
    <row r="2091" customFormat="false" ht="15" hidden="false" customHeight="false" outlineLevel="0" collapsed="false"/>
    <row r="2092" customFormat="false" ht="15" hidden="false" customHeight="false" outlineLevel="0" collapsed="false"/>
    <row r="2093" customFormat="false" ht="15" hidden="false" customHeight="false" outlineLevel="0" collapsed="false"/>
    <row r="2094" customFormat="false" ht="15" hidden="false" customHeight="false" outlineLevel="0" collapsed="false"/>
    <row r="2095" customFormat="false" ht="15" hidden="false" customHeight="false" outlineLevel="0" collapsed="false"/>
    <row r="2096" customFormat="false" ht="15" hidden="false" customHeight="false" outlineLevel="0" collapsed="false"/>
    <row r="2097" customFormat="false" ht="15" hidden="false" customHeight="false" outlineLevel="0" collapsed="false"/>
    <row r="2098" customFormat="false" ht="15" hidden="false" customHeight="false" outlineLevel="0" collapsed="false"/>
    <row r="2099" customFormat="false" ht="15" hidden="false" customHeight="false" outlineLevel="0" collapsed="false"/>
    <row r="2100" customFormat="false" ht="15" hidden="false" customHeight="false" outlineLevel="0" collapsed="false"/>
    <row r="2101" customFormat="false" ht="15" hidden="false" customHeight="false" outlineLevel="0" collapsed="false"/>
    <row r="2102" customFormat="false" ht="15" hidden="false" customHeight="false" outlineLevel="0" collapsed="false"/>
    <row r="2103" customFormat="false" ht="15" hidden="false" customHeight="false" outlineLevel="0" collapsed="false"/>
    <row r="2104" customFormat="false" ht="15" hidden="false" customHeight="false" outlineLevel="0" collapsed="false"/>
    <row r="2105" customFormat="false" ht="15" hidden="false" customHeight="false" outlineLevel="0" collapsed="false"/>
    <row r="2106" customFormat="false" ht="15" hidden="false" customHeight="false" outlineLevel="0" collapsed="false"/>
    <row r="2107" customFormat="false" ht="15" hidden="false" customHeight="false" outlineLevel="0" collapsed="false"/>
    <row r="2108" customFormat="false" ht="15" hidden="false" customHeight="false" outlineLevel="0" collapsed="false"/>
    <row r="2109" customFormat="false" ht="15" hidden="false" customHeight="false" outlineLevel="0" collapsed="false"/>
    <row r="2110" customFormat="false" ht="15" hidden="false" customHeight="false" outlineLevel="0" collapsed="false"/>
    <row r="2111" customFormat="false" ht="15" hidden="false" customHeight="false" outlineLevel="0" collapsed="false"/>
    <row r="2112" customFormat="false" ht="15" hidden="false" customHeight="false" outlineLevel="0" collapsed="false"/>
    <row r="2113" customFormat="false" ht="15" hidden="false" customHeight="false" outlineLevel="0" collapsed="false"/>
    <row r="2114" customFormat="false" ht="15" hidden="false" customHeight="false" outlineLevel="0" collapsed="false"/>
    <row r="2115" customFormat="false" ht="15" hidden="false" customHeight="false" outlineLevel="0" collapsed="false"/>
    <row r="2116" customFormat="false" ht="15" hidden="false" customHeight="false" outlineLevel="0" collapsed="false"/>
    <row r="2117" customFormat="false" ht="15" hidden="false" customHeight="false" outlineLevel="0" collapsed="false"/>
    <row r="2118" customFormat="false" ht="15" hidden="false" customHeight="false" outlineLevel="0" collapsed="false"/>
    <row r="2119" customFormat="false" ht="15" hidden="false" customHeight="false" outlineLevel="0" collapsed="false"/>
    <row r="2120" customFormat="false" ht="15" hidden="false" customHeight="false" outlineLevel="0" collapsed="false"/>
    <row r="2121" customFormat="false" ht="15" hidden="false" customHeight="false" outlineLevel="0" collapsed="false"/>
    <row r="2122" customFormat="false" ht="15" hidden="false" customHeight="false" outlineLevel="0" collapsed="false"/>
    <row r="2123" customFormat="false" ht="15" hidden="false" customHeight="false" outlineLevel="0" collapsed="false"/>
    <row r="2124" customFormat="false" ht="15" hidden="false" customHeight="false" outlineLevel="0" collapsed="false"/>
    <row r="2125" customFormat="false" ht="15" hidden="false" customHeight="false" outlineLevel="0" collapsed="false"/>
    <row r="2126" customFormat="false" ht="15" hidden="false" customHeight="false" outlineLevel="0" collapsed="false"/>
    <row r="2127" customFormat="false" ht="15" hidden="false" customHeight="false" outlineLevel="0" collapsed="false"/>
    <row r="2128" customFormat="false" ht="15" hidden="false" customHeight="false" outlineLevel="0" collapsed="false"/>
    <row r="2129" customFormat="false" ht="15" hidden="false" customHeight="false" outlineLevel="0" collapsed="false"/>
    <row r="2130" customFormat="false" ht="15" hidden="false" customHeight="false" outlineLevel="0" collapsed="false"/>
    <row r="2131" customFormat="false" ht="15" hidden="false" customHeight="false" outlineLevel="0" collapsed="false"/>
    <row r="2132" customFormat="false" ht="15" hidden="false" customHeight="false" outlineLevel="0" collapsed="false"/>
    <row r="2133" customFormat="false" ht="15" hidden="false" customHeight="false" outlineLevel="0" collapsed="false"/>
    <row r="2134" customFormat="false" ht="15" hidden="false" customHeight="false" outlineLevel="0" collapsed="false"/>
    <row r="2135" customFormat="false" ht="15" hidden="false" customHeight="false" outlineLevel="0" collapsed="false"/>
    <row r="2136" customFormat="false" ht="15" hidden="false" customHeight="false" outlineLevel="0" collapsed="false"/>
    <row r="2137" customFormat="false" ht="15" hidden="false" customHeight="false" outlineLevel="0" collapsed="false"/>
    <row r="2138" customFormat="false" ht="15" hidden="false" customHeight="false" outlineLevel="0" collapsed="false"/>
    <row r="2139" customFormat="false" ht="15" hidden="false" customHeight="false" outlineLevel="0" collapsed="false"/>
    <row r="2140" customFormat="false" ht="15" hidden="false" customHeight="false" outlineLevel="0" collapsed="false"/>
    <row r="2141" customFormat="false" ht="15" hidden="false" customHeight="false" outlineLevel="0" collapsed="false"/>
    <row r="2142" customFormat="false" ht="15" hidden="false" customHeight="false" outlineLevel="0" collapsed="false"/>
    <row r="2143" customFormat="false" ht="15" hidden="false" customHeight="false" outlineLevel="0" collapsed="false"/>
    <row r="2144" customFormat="false" ht="15" hidden="false" customHeight="false" outlineLevel="0" collapsed="false"/>
    <row r="2145" customFormat="false" ht="15" hidden="false" customHeight="false" outlineLevel="0" collapsed="false"/>
    <row r="2146" customFormat="false" ht="15" hidden="false" customHeight="false" outlineLevel="0" collapsed="false"/>
    <row r="2147" customFormat="false" ht="15" hidden="false" customHeight="false" outlineLevel="0" collapsed="false"/>
    <row r="2148" customFormat="false" ht="15" hidden="false" customHeight="false" outlineLevel="0" collapsed="false"/>
    <row r="2149" customFormat="false" ht="15" hidden="false" customHeight="false" outlineLevel="0" collapsed="false"/>
    <row r="2150" customFormat="false" ht="15" hidden="false" customHeight="false" outlineLevel="0" collapsed="false"/>
    <row r="2151" customFormat="false" ht="15" hidden="false" customHeight="false" outlineLevel="0" collapsed="false"/>
    <row r="2152" customFormat="false" ht="15" hidden="false" customHeight="false" outlineLevel="0" collapsed="false"/>
    <row r="2153" customFormat="false" ht="15" hidden="false" customHeight="false" outlineLevel="0" collapsed="false"/>
    <row r="2154" customFormat="false" ht="15" hidden="false" customHeight="false" outlineLevel="0" collapsed="false"/>
    <row r="2155" customFormat="false" ht="15" hidden="false" customHeight="false" outlineLevel="0" collapsed="false"/>
    <row r="2156" customFormat="false" ht="15" hidden="false" customHeight="false" outlineLevel="0" collapsed="false"/>
    <row r="2157" customFormat="false" ht="15" hidden="false" customHeight="false" outlineLevel="0" collapsed="false"/>
    <row r="2158" customFormat="false" ht="15" hidden="false" customHeight="false" outlineLevel="0" collapsed="false"/>
    <row r="2159" customFormat="false" ht="15" hidden="false" customHeight="false" outlineLevel="0" collapsed="false"/>
    <row r="2160" customFormat="false" ht="15" hidden="false" customHeight="false" outlineLevel="0" collapsed="false"/>
    <row r="2161" customFormat="false" ht="15" hidden="false" customHeight="false" outlineLevel="0" collapsed="false"/>
    <row r="2162" customFormat="false" ht="15" hidden="false" customHeight="false" outlineLevel="0" collapsed="false"/>
    <row r="2163" customFormat="false" ht="15" hidden="false" customHeight="false" outlineLevel="0" collapsed="false"/>
    <row r="2164" customFormat="false" ht="15" hidden="false" customHeight="false" outlineLevel="0" collapsed="false"/>
    <row r="2165" customFormat="false" ht="15" hidden="false" customHeight="false" outlineLevel="0" collapsed="false"/>
    <row r="2166" customFormat="false" ht="15" hidden="false" customHeight="false" outlineLevel="0" collapsed="false"/>
    <row r="2167" customFormat="false" ht="15" hidden="false" customHeight="false" outlineLevel="0" collapsed="false"/>
    <row r="2168" customFormat="false" ht="15" hidden="false" customHeight="false" outlineLevel="0" collapsed="false"/>
    <row r="2169" customFormat="false" ht="15" hidden="false" customHeight="false" outlineLevel="0" collapsed="false"/>
    <row r="2170" customFormat="false" ht="15" hidden="false" customHeight="false" outlineLevel="0" collapsed="false"/>
    <row r="2171" customFormat="false" ht="15" hidden="false" customHeight="false" outlineLevel="0" collapsed="false"/>
    <row r="2172" customFormat="false" ht="15" hidden="false" customHeight="false" outlineLevel="0" collapsed="false"/>
    <row r="2173" customFormat="false" ht="15" hidden="false" customHeight="false" outlineLevel="0" collapsed="false"/>
    <row r="2174" customFormat="false" ht="15" hidden="false" customHeight="false" outlineLevel="0" collapsed="false"/>
    <row r="2175" customFormat="false" ht="15" hidden="false" customHeight="false" outlineLevel="0" collapsed="false"/>
    <row r="2176" customFormat="false" ht="15" hidden="false" customHeight="false" outlineLevel="0" collapsed="false"/>
    <row r="2177" customFormat="false" ht="15" hidden="false" customHeight="false" outlineLevel="0" collapsed="false"/>
    <row r="2178" customFormat="false" ht="15" hidden="false" customHeight="false" outlineLevel="0" collapsed="false"/>
    <row r="2179" customFormat="false" ht="15" hidden="false" customHeight="false" outlineLevel="0" collapsed="false"/>
    <row r="2180" customFormat="false" ht="15" hidden="false" customHeight="false" outlineLevel="0" collapsed="false"/>
    <row r="2181" customFormat="false" ht="15" hidden="false" customHeight="false" outlineLevel="0" collapsed="false"/>
    <row r="2182" customFormat="false" ht="15" hidden="false" customHeight="false" outlineLevel="0" collapsed="false"/>
    <row r="2183" customFormat="false" ht="15" hidden="false" customHeight="false" outlineLevel="0" collapsed="false"/>
    <row r="2184" customFormat="false" ht="15" hidden="false" customHeight="false" outlineLevel="0" collapsed="false"/>
    <row r="2185" customFormat="false" ht="15" hidden="false" 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llapsed="false"/>
    <row r="2188" customFormat="false" ht="15" hidden="false" customHeight="false" outlineLevel="0" collapsed="false"/>
    <row r="2189" customFormat="false" ht="15" hidden="false" customHeight="false" outlineLevel="0" collapsed="false"/>
    <row r="2190" customFormat="false" ht="15" hidden="false" customHeight="false" outlineLevel="0" collapsed="false"/>
    <row r="2191" customFormat="false" ht="15" hidden="false" customHeight="false" outlineLevel="0" collapsed="false"/>
    <row r="2192" customFormat="false" ht="15" hidden="false" customHeight="false" outlineLevel="0" collapsed="false"/>
    <row r="2193" customFormat="false" ht="15" hidden="false" customHeight="false" outlineLevel="0" collapsed="false"/>
    <row r="2194" customFormat="false" ht="15" hidden="false" customHeight="false" outlineLevel="0" collapsed="false"/>
    <row r="2195" customFormat="false" ht="15" hidden="false" customHeight="false" outlineLevel="0" collapsed="false"/>
    <row r="2196" customFormat="false" ht="15" hidden="false" customHeight="false" outlineLevel="0" collapsed="false"/>
    <row r="2197" customFormat="false" ht="15" hidden="false" customHeight="false" outlineLevel="0" collapsed="false"/>
    <row r="2198" customFormat="false" ht="15" hidden="false" customHeight="false" outlineLevel="0" collapsed="false"/>
    <row r="2199" customFormat="false" ht="15" hidden="false" customHeight="false" outlineLevel="0" collapsed="false"/>
    <row r="2200" customFormat="false" ht="15" hidden="false" customHeight="false" outlineLevel="0" collapsed="false"/>
    <row r="2201" customFormat="false" ht="15" hidden="false" customHeight="false" outlineLevel="0" collapsed="false"/>
    <row r="2202" customFormat="false" ht="15" hidden="false" customHeight="false" outlineLevel="0" collapsed="false"/>
    <row r="2203" customFormat="false" ht="15" hidden="false" customHeight="false" outlineLevel="0" collapsed="false"/>
    <row r="2204" customFormat="false" ht="15" hidden="false" customHeight="false" outlineLevel="0" collapsed="false"/>
    <row r="2205" customFormat="false" ht="15" hidden="false" customHeight="false" outlineLevel="0" collapsed="false"/>
    <row r="2206" customFormat="false" ht="15" hidden="false" customHeight="false" outlineLevel="0" collapsed="false"/>
    <row r="2207" customFormat="false" ht="15" hidden="false" customHeight="false" outlineLevel="0" collapsed="false"/>
    <row r="2208" customFormat="false" ht="15" hidden="false" customHeight="false" outlineLevel="0" collapsed="false"/>
    <row r="2209" customFormat="false" ht="15" hidden="false" customHeight="false" outlineLevel="0" collapsed="false"/>
    <row r="2210" customFormat="false" ht="15" hidden="false" customHeight="false" outlineLevel="0" collapsed="false"/>
    <row r="2211" customFormat="false" ht="15" hidden="false" customHeight="false" outlineLevel="0" collapsed="false"/>
    <row r="2212" customFormat="false" ht="15" hidden="false" customHeight="false" outlineLevel="0" collapsed="false"/>
    <row r="2213" customFormat="false" ht="15" hidden="false" customHeight="false" outlineLevel="0" collapsed="false"/>
    <row r="2214" customFormat="false" ht="15" hidden="false" customHeight="false" outlineLevel="0" collapsed="false"/>
    <row r="2215" customFormat="false" ht="15" hidden="false" customHeight="false" outlineLevel="0" collapsed="false"/>
    <row r="2216" customFormat="false" ht="15" hidden="false" customHeight="false" outlineLevel="0" collapsed="false"/>
    <row r="2217" customFormat="false" ht="15" hidden="false" customHeight="false" outlineLevel="0" collapsed="false"/>
    <row r="2218" customFormat="false" ht="15" hidden="false" customHeight="false" outlineLevel="0" collapsed="false"/>
    <row r="2219" customFormat="false" ht="15" hidden="false" customHeight="false" outlineLevel="0" collapsed="false"/>
    <row r="2220" customFormat="false" ht="15" hidden="false" customHeight="false" outlineLevel="0" collapsed="false"/>
    <row r="2221" customFormat="false" ht="15" hidden="false" customHeight="false" outlineLevel="0" collapsed="false"/>
    <row r="2222" customFormat="false" ht="15" hidden="false" customHeight="false" outlineLevel="0" collapsed="false"/>
    <row r="2223" customFormat="false" ht="15" hidden="false" customHeight="false" outlineLevel="0" collapsed="false"/>
    <row r="2224" customFormat="false" ht="15" hidden="false" customHeight="false" outlineLevel="0" collapsed="false"/>
    <row r="2225" customFormat="false" ht="15" hidden="false" customHeight="false" outlineLevel="0" collapsed="false"/>
    <row r="2226" customFormat="false" ht="15" hidden="false" customHeight="false" outlineLevel="0" collapsed="false"/>
    <row r="2227" customFormat="false" ht="15" hidden="false" customHeight="false" outlineLevel="0" collapsed="false"/>
    <row r="2228" customFormat="false" ht="15" hidden="false" customHeight="false" outlineLevel="0" collapsed="false"/>
    <row r="2229" customFormat="false" ht="15" hidden="false" customHeight="false" outlineLevel="0" collapsed="false"/>
    <row r="2230" customFormat="false" ht="15" hidden="false" customHeight="false" outlineLevel="0" collapsed="false"/>
    <row r="2231" customFormat="false" ht="15" hidden="false" customHeight="false" outlineLevel="0" collapsed="false"/>
    <row r="2232" customFormat="false" ht="15" hidden="false" customHeight="false" outlineLevel="0" collapsed="false"/>
    <row r="2233" customFormat="false" ht="15" hidden="false" customHeight="false" outlineLevel="0" collapsed="false"/>
    <row r="2234" customFormat="false" ht="15" hidden="false" customHeight="false" outlineLevel="0" collapsed="false"/>
    <row r="2235" customFormat="false" ht="15" hidden="false" customHeight="false" outlineLevel="0" collapsed="false"/>
    <row r="2236" customFormat="false" ht="15" hidden="false" customHeight="false" outlineLevel="0" collapsed="false"/>
    <row r="2237" customFormat="false" ht="15" hidden="false" customHeight="false" outlineLevel="0" collapsed="false"/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5" hidden="false" customHeight="false" outlineLevel="0" collapsed="false"/>
    <row r="2242" customFormat="false" ht="15" hidden="false" customHeight="false" outlineLevel="0" collapsed="false"/>
    <row r="2243" customFormat="false" ht="15" hidden="false" customHeight="false" outlineLevel="0" collapsed="false"/>
    <row r="2244" customFormat="false" ht="15" hidden="false" customHeight="false" outlineLevel="0" collapsed="false"/>
    <row r="2245" customFormat="false" ht="15" hidden="false" customHeight="false" outlineLevel="0" collapsed="false"/>
    <row r="2246" customFormat="false" ht="15" hidden="false" customHeight="false" outlineLevel="0" collapsed="false"/>
    <row r="2247" customFormat="false" ht="15" hidden="false" customHeight="false" outlineLevel="0" collapsed="false"/>
    <row r="2248" customFormat="false" ht="15" hidden="false" customHeight="false" outlineLevel="0" collapsed="false"/>
    <row r="2249" customFormat="false" ht="15" hidden="false" customHeight="false" outlineLevel="0" collapsed="false"/>
    <row r="2250" customFormat="false" ht="15" hidden="false" customHeight="false" outlineLevel="0" collapsed="false"/>
    <row r="2251" customFormat="false" ht="15" hidden="false" customHeight="false" outlineLevel="0" collapsed="false"/>
    <row r="2252" customFormat="false" ht="15" hidden="false" customHeight="false" outlineLevel="0" collapsed="false"/>
    <row r="2253" customFormat="false" ht="15" hidden="false" customHeight="false" outlineLevel="0" collapsed="false"/>
    <row r="2254" customFormat="false" ht="15" hidden="false" customHeight="false" outlineLevel="0" collapsed="false"/>
    <row r="2255" customFormat="false" ht="15" hidden="false" customHeight="false" outlineLevel="0" collapsed="false"/>
    <row r="2256" customFormat="false" ht="15" hidden="false" customHeight="false" outlineLevel="0" collapsed="false"/>
    <row r="2257" customFormat="false" ht="15" hidden="false" customHeight="false" outlineLevel="0" collapsed="false"/>
    <row r="2258" customFormat="false" ht="15" hidden="false" customHeight="false" outlineLevel="0" collapsed="false"/>
    <row r="2259" customFormat="false" ht="15" hidden="false" customHeight="false" outlineLevel="0" collapsed="false"/>
    <row r="2260" customFormat="false" ht="15" hidden="false" customHeight="false" outlineLevel="0" collapsed="false"/>
    <row r="2261" customFormat="false" ht="15" hidden="false" customHeight="false" outlineLevel="0" collapsed="false"/>
    <row r="2262" customFormat="false" ht="15" hidden="false" customHeight="false" outlineLevel="0" collapsed="false"/>
    <row r="2263" customFormat="false" ht="15" hidden="false" customHeight="false" outlineLevel="0" collapsed="false"/>
    <row r="2264" customFormat="false" ht="15" hidden="false" customHeight="false" outlineLevel="0" collapsed="false"/>
    <row r="2265" customFormat="false" ht="15" hidden="false" customHeight="false" outlineLevel="0" collapsed="false"/>
    <row r="2266" customFormat="false" ht="15" hidden="false" customHeight="false" outlineLevel="0" collapsed="false"/>
    <row r="2267" customFormat="false" ht="15" hidden="false" customHeight="false" outlineLevel="0" collapsed="false"/>
    <row r="2268" customFormat="false" ht="15" hidden="false" customHeight="false" outlineLevel="0" collapsed="false"/>
    <row r="2269" customFormat="false" ht="15" hidden="false" customHeight="false" outlineLevel="0" collapsed="false"/>
    <row r="2270" customFormat="false" ht="15" hidden="false" customHeight="false" outlineLevel="0" collapsed="false"/>
    <row r="2271" customFormat="false" ht="15" hidden="false" customHeight="false" outlineLevel="0" collapsed="false"/>
    <row r="2272" customFormat="false" ht="15" hidden="false" customHeight="false" outlineLevel="0" collapsed="false"/>
    <row r="2273" customFormat="false" ht="15" hidden="false" customHeight="false" outlineLevel="0" collapsed="false"/>
    <row r="2274" customFormat="false" ht="15" hidden="false" customHeight="false" outlineLevel="0" collapsed="false"/>
    <row r="2275" customFormat="false" ht="15" hidden="false" customHeight="false" outlineLevel="0" collapsed="false"/>
    <row r="2276" customFormat="false" ht="15" hidden="false" customHeight="false" outlineLevel="0" collapsed="false"/>
    <row r="2277" customFormat="false" ht="15" hidden="false" customHeight="false" outlineLevel="0" collapsed="false"/>
    <row r="2278" customFormat="false" ht="15" hidden="false" customHeight="false" outlineLevel="0" collapsed="false"/>
    <row r="2279" customFormat="false" ht="15" hidden="false" customHeight="false" outlineLevel="0" collapsed="false"/>
    <row r="2280" customFormat="false" ht="15" hidden="false" customHeight="false" outlineLevel="0" collapsed="false"/>
    <row r="2281" customFormat="false" ht="15" hidden="false" customHeight="false" outlineLevel="0" collapsed="false"/>
    <row r="2282" customFormat="false" ht="15" hidden="false" customHeight="false" outlineLevel="0" collapsed="false"/>
    <row r="2283" customFormat="false" ht="15" hidden="false" customHeight="false" outlineLevel="0" collapsed="false"/>
    <row r="2284" customFormat="false" ht="15" hidden="false" customHeight="false" outlineLevel="0" collapsed="false"/>
    <row r="2285" customFormat="false" ht="15" hidden="false" customHeight="false" outlineLevel="0" collapsed="false"/>
    <row r="2286" customFormat="false" ht="15" hidden="false" customHeight="false" outlineLevel="0" collapsed="false"/>
    <row r="2287" customFormat="false" ht="15" hidden="false" customHeight="false" outlineLevel="0" collapsed="false"/>
    <row r="2288" customFormat="false" ht="15" hidden="false" customHeight="false" outlineLevel="0" collapsed="false"/>
    <row r="2289" customFormat="false" ht="15" hidden="false" customHeight="false" outlineLevel="0" collapsed="false"/>
    <row r="2290" customFormat="false" ht="15" hidden="false" customHeight="false" outlineLevel="0" collapsed="false"/>
    <row r="2291" customFormat="false" ht="15" hidden="false" customHeight="false" outlineLevel="0" collapsed="false"/>
    <row r="2292" customFormat="false" ht="15" hidden="false" customHeight="false" outlineLevel="0" collapsed="false"/>
    <row r="2293" customFormat="false" ht="15" hidden="false" customHeight="false" outlineLevel="0" collapsed="false"/>
    <row r="2294" customFormat="false" ht="15" hidden="false" customHeight="false" outlineLevel="0" collapsed="false"/>
    <row r="2295" customFormat="false" ht="15" hidden="false" customHeight="false" outlineLevel="0" collapsed="false"/>
    <row r="2296" customFormat="false" ht="15" hidden="false" customHeight="false" outlineLevel="0" collapsed="false"/>
    <row r="2297" customFormat="false" ht="15" hidden="false" customHeight="false" outlineLevel="0" collapsed="false"/>
    <row r="2298" customFormat="false" ht="15" hidden="false" customHeight="false" outlineLevel="0" collapsed="false"/>
    <row r="2299" customFormat="false" ht="15" hidden="false" customHeight="false" outlineLevel="0" collapsed="false"/>
    <row r="2300" customFormat="false" ht="15" hidden="false" customHeight="false" outlineLevel="0" collapsed="false"/>
    <row r="2301" customFormat="false" ht="15" hidden="false" customHeight="false" outlineLevel="0" collapsed="false"/>
    <row r="2302" customFormat="false" ht="15" hidden="false" customHeight="false" outlineLevel="0" collapsed="false"/>
    <row r="2303" customFormat="false" ht="15" hidden="false" customHeight="false" outlineLevel="0" collapsed="false"/>
    <row r="2304" customFormat="false" ht="15" hidden="false" customHeight="false" outlineLevel="0" collapsed="false"/>
    <row r="2305" customFormat="false" ht="15" hidden="false" customHeight="false" outlineLevel="0" collapsed="false"/>
    <row r="2306" customFormat="false" ht="15" hidden="false" customHeight="false" outlineLevel="0" collapsed="false"/>
    <row r="2307" customFormat="false" ht="15" hidden="false" customHeight="false" outlineLevel="0" collapsed="false"/>
    <row r="2308" customFormat="false" ht="15" hidden="false" customHeight="false" outlineLevel="0" collapsed="false"/>
    <row r="2309" customFormat="false" ht="15" hidden="false" customHeight="false" outlineLevel="0" collapsed="false"/>
    <row r="2310" customFormat="false" ht="15" hidden="false" customHeight="false" outlineLevel="0" collapsed="false"/>
    <row r="2311" customFormat="false" ht="15" hidden="false" customHeight="false" outlineLevel="0" collapsed="false"/>
    <row r="2312" customFormat="false" ht="15" hidden="false" customHeight="false" outlineLevel="0" collapsed="false"/>
    <row r="2313" customFormat="false" ht="15" hidden="false" customHeight="false" outlineLevel="0" collapsed="false"/>
    <row r="2314" customFormat="false" ht="15" hidden="false" customHeight="false" outlineLevel="0" collapsed="false"/>
    <row r="2315" customFormat="false" ht="15" hidden="false" customHeight="false" outlineLevel="0" collapsed="false"/>
    <row r="2316" customFormat="false" ht="15" hidden="false" customHeight="false" outlineLevel="0" collapsed="false"/>
    <row r="2317" customFormat="false" ht="15" hidden="false" customHeight="false" outlineLevel="0" collapsed="false"/>
    <row r="2318" customFormat="false" ht="15" hidden="false" customHeight="false" outlineLevel="0" collapsed="false"/>
    <row r="2319" customFormat="false" ht="15" hidden="false" customHeight="false" outlineLevel="0" collapsed="false"/>
    <row r="2320" customFormat="false" ht="15" hidden="false" customHeight="false" outlineLevel="0" collapsed="false"/>
    <row r="2321" customFormat="false" ht="15" hidden="false" customHeight="false" outlineLevel="0" collapsed="false"/>
    <row r="2322" customFormat="false" ht="15" hidden="false" customHeight="false" outlineLevel="0" collapsed="false"/>
    <row r="2323" customFormat="false" ht="15" hidden="false" customHeight="false" outlineLevel="0" collapsed="false"/>
    <row r="2324" customFormat="false" ht="15" hidden="false" customHeight="false" outlineLevel="0" collapsed="false"/>
    <row r="2325" customFormat="false" ht="15" hidden="false" customHeight="false" outlineLevel="0" collapsed="false"/>
    <row r="2326" customFormat="false" ht="15" hidden="false" customHeight="false" outlineLevel="0" collapsed="false"/>
    <row r="2327" customFormat="false" ht="15" hidden="false" customHeight="false" outlineLevel="0" collapsed="false"/>
    <row r="2328" customFormat="false" ht="15" hidden="false" customHeight="false" outlineLevel="0" collapsed="false"/>
    <row r="2329" customFormat="false" ht="15" hidden="false" customHeight="false" outlineLevel="0" collapsed="false"/>
    <row r="2330" customFormat="false" ht="15" hidden="false" customHeight="false" outlineLevel="0" collapsed="false"/>
    <row r="2331" customFormat="false" ht="15" hidden="false" customHeight="false" outlineLevel="0" collapsed="false"/>
    <row r="2332" customFormat="false" ht="15" hidden="false" customHeight="false" outlineLevel="0" collapsed="false"/>
    <row r="2333" customFormat="false" ht="15" hidden="false" customHeight="false" outlineLevel="0" collapsed="false"/>
    <row r="2334" customFormat="false" ht="15" hidden="false" customHeight="false" outlineLevel="0" collapsed="false"/>
    <row r="2335" customFormat="false" ht="15" hidden="false" customHeight="false" outlineLevel="0" collapsed="false"/>
    <row r="2336" customFormat="false" ht="15" hidden="false" customHeight="false" outlineLevel="0" collapsed="false"/>
    <row r="2337" customFormat="false" ht="15" hidden="false" customHeight="false" outlineLevel="0" collapsed="false"/>
    <row r="2338" customFormat="false" ht="15" hidden="false" customHeight="false" outlineLevel="0" collapsed="false"/>
    <row r="2339" customFormat="false" ht="15" hidden="false" customHeight="false" outlineLevel="0" collapsed="false"/>
    <row r="2340" customFormat="false" ht="15" hidden="false" customHeight="false" outlineLevel="0" collapsed="false"/>
    <row r="2341" customFormat="false" ht="15" hidden="false" customHeight="false" outlineLevel="0" collapsed="false"/>
    <row r="2342" customFormat="false" ht="15" hidden="false" customHeight="false" outlineLevel="0" collapsed="false"/>
    <row r="2343" customFormat="false" ht="15" hidden="false" customHeight="false" outlineLevel="0" collapsed="false"/>
    <row r="2344" customFormat="false" ht="15" hidden="false" customHeight="false" outlineLevel="0" collapsed="false"/>
    <row r="2345" customFormat="false" ht="15" hidden="false" customHeight="false" outlineLevel="0" collapsed="false"/>
    <row r="2346" customFormat="false" ht="15" hidden="false" customHeight="false" outlineLevel="0" collapsed="false"/>
    <row r="2347" customFormat="false" ht="15" hidden="false" customHeight="false" outlineLevel="0" collapsed="false"/>
    <row r="2348" customFormat="false" ht="15" hidden="false" customHeight="false" outlineLevel="0" collapsed="false"/>
    <row r="2349" customFormat="false" ht="15" hidden="false" customHeight="false" outlineLevel="0" collapsed="false"/>
    <row r="2350" customFormat="false" ht="15" hidden="false" customHeight="false" outlineLevel="0" collapsed="false"/>
    <row r="2351" customFormat="false" ht="15" hidden="false" customHeight="false" outlineLevel="0" collapsed="false"/>
    <row r="2352" customFormat="false" ht="15" hidden="false" customHeight="false" outlineLevel="0" collapsed="false"/>
    <row r="2353" customFormat="false" ht="15" hidden="false" customHeight="false" outlineLevel="0" collapsed="false"/>
    <row r="2354" customFormat="false" ht="15" hidden="false" customHeight="false" outlineLevel="0" collapsed="false"/>
    <row r="2355" customFormat="false" ht="15" hidden="false" customHeight="false" outlineLevel="0" collapsed="false"/>
    <row r="2356" customFormat="false" ht="15" hidden="false" customHeight="false" outlineLevel="0" collapsed="false"/>
    <row r="2357" customFormat="false" ht="15" hidden="false" customHeight="false" outlineLevel="0" collapsed="false"/>
    <row r="2358" customFormat="false" ht="15" hidden="false" customHeight="false" outlineLevel="0" collapsed="false"/>
    <row r="2359" customFormat="false" ht="15" hidden="false" customHeight="false" outlineLevel="0" collapsed="false"/>
    <row r="2360" customFormat="false" ht="15" hidden="false" customHeight="false" outlineLevel="0" collapsed="false"/>
    <row r="2361" customFormat="false" ht="15" hidden="false" customHeight="false" outlineLevel="0" collapsed="false"/>
    <row r="2362" customFormat="false" ht="15" hidden="false" customHeight="false" outlineLevel="0" collapsed="false"/>
    <row r="2363" customFormat="false" ht="15" hidden="false" customHeight="false" outlineLevel="0" collapsed="false"/>
    <row r="2364" customFormat="false" ht="15" hidden="false" customHeight="false" outlineLevel="0" collapsed="false"/>
    <row r="2365" customFormat="false" ht="15" hidden="false" customHeight="false" outlineLevel="0" collapsed="false"/>
    <row r="2366" customFormat="false" ht="15" hidden="false" customHeight="false" outlineLevel="0" collapsed="false"/>
    <row r="2367" customFormat="false" ht="15" hidden="false" customHeight="false" outlineLevel="0" collapsed="false"/>
    <row r="2368" customFormat="false" ht="15" hidden="false" customHeight="false" outlineLevel="0" collapsed="false"/>
    <row r="2369" customFormat="false" ht="15" hidden="false" customHeight="false" outlineLevel="0" collapsed="false"/>
    <row r="2370" customFormat="false" ht="15" hidden="false" customHeight="false" outlineLevel="0" collapsed="false"/>
    <row r="2371" customFormat="false" ht="15" hidden="false" customHeight="false" outlineLevel="0" collapsed="false"/>
    <row r="2372" customFormat="false" ht="15" hidden="false" customHeight="false" outlineLevel="0" collapsed="false"/>
    <row r="2373" customFormat="false" ht="15" hidden="false" customHeight="false" outlineLevel="0" collapsed="false"/>
    <row r="2374" customFormat="false" ht="15" hidden="false" customHeight="false" outlineLevel="0" collapsed="false"/>
    <row r="2375" customFormat="false" ht="15" hidden="false" customHeight="false" outlineLevel="0" collapsed="false"/>
    <row r="2376" customFormat="false" ht="15" hidden="false" customHeight="false" outlineLevel="0" collapsed="false"/>
    <row r="2377" customFormat="false" ht="15" hidden="false" customHeight="false" outlineLevel="0" collapsed="false"/>
    <row r="2378" customFormat="false" ht="15" hidden="false" customHeight="false" outlineLevel="0" collapsed="false"/>
    <row r="2379" customFormat="false" ht="15" hidden="false" customHeight="false" outlineLevel="0" collapsed="false"/>
    <row r="2380" customFormat="false" ht="15" hidden="false" customHeight="false" outlineLevel="0" collapsed="false"/>
    <row r="2381" customFormat="false" ht="15" hidden="false" customHeight="false" outlineLevel="0" collapsed="false"/>
    <row r="2382" customFormat="false" ht="15" hidden="false" customHeight="false" outlineLevel="0" collapsed="false"/>
    <row r="2383" customFormat="false" ht="15" hidden="false" customHeight="false" outlineLevel="0" collapsed="false"/>
    <row r="2384" customFormat="false" ht="15" hidden="false" customHeight="false" outlineLevel="0" collapsed="false"/>
    <row r="2385" customFormat="false" ht="15" hidden="false" customHeight="false" outlineLevel="0" collapsed="false"/>
    <row r="2386" customFormat="false" ht="15" hidden="false" customHeight="false" outlineLevel="0" collapsed="false"/>
    <row r="2387" customFormat="false" ht="15" hidden="false" customHeight="false" outlineLevel="0" collapsed="false"/>
    <row r="2388" customFormat="false" ht="15" hidden="false" customHeight="false" outlineLevel="0" collapsed="false"/>
    <row r="2389" customFormat="false" ht="15" hidden="false" customHeight="false" outlineLevel="0" collapsed="false"/>
    <row r="2390" customFormat="false" ht="15" hidden="false" customHeight="false" outlineLevel="0" collapsed="false"/>
    <row r="2391" customFormat="false" ht="15" hidden="false" customHeight="false" outlineLevel="0" collapsed="false"/>
    <row r="2392" customFormat="false" ht="15" hidden="false" customHeight="false" outlineLevel="0" collapsed="false"/>
    <row r="2393" customFormat="false" ht="15" hidden="false" customHeight="false" outlineLevel="0" collapsed="false"/>
    <row r="2394" customFormat="false" ht="15" hidden="false" customHeight="false" outlineLevel="0" collapsed="false"/>
    <row r="2395" customFormat="false" ht="15" hidden="false" customHeight="false" outlineLevel="0" collapsed="false"/>
    <row r="2396" customFormat="false" ht="15" hidden="false" customHeight="false" outlineLevel="0" collapsed="false"/>
    <row r="2397" customFormat="false" ht="15" hidden="false" customHeight="false" outlineLevel="0" collapsed="false"/>
    <row r="2398" customFormat="false" ht="15" hidden="false" customHeight="false" outlineLevel="0" collapsed="false"/>
    <row r="2399" customFormat="false" ht="15" hidden="false" customHeight="false" outlineLevel="0" collapsed="false"/>
    <row r="2400" customFormat="false" ht="15" hidden="false" customHeight="false" outlineLevel="0" collapsed="false"/>
    <row r="2401" customFormat="false" ht="15" hidden="false" customHeight="false" outlineLevel="0" collapsed="false"/>
    <row r="2402" customFormat="false" ht="15" hidden="false" customHeight="false" outlineLevel="0" collapsed="false"/>
    <row r="2403" customFormat="false" ht="15" hidden="false" customHeight="false" outlineLevel="0" collapsed="false"/>
    <row r="2404" customFormat="false" ht="15" hidden="false" customHeight="false" outlineLevel="0" collapsed="false"/>
    <row r="2405" customFormat="false" ht="15" hidden="false" customHeight="false" outlineLevel="0" collapsed="false"/>
    <row r="2406" customFormat="false" ht="15" hidden="false" customHeight="false" outlineLevel="0" collapsed="false"/>
    <row r="2407" customFormat="false" ht="15" hidden="false" customHeight="false" outlineLevel="0" collapsed="false"/>
    <row r="2408" customFormat="false" ht="15" hidden="false" customHeight="false" outlineLevel="0" collapsed="false"/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/>
    <row r="2412" customFormat="false" ht="15" hidden="false" customHeight="false" outlineLevel="0" collapsed="false"/>
    <row r="2413" customFormat="false" ht="15" hidden="false" customHeight="false" outlineLevel="0" collapsed="false"/>
    <row r="2414" customFormat="false" ht="15" hidden="false" customHeight="false" outlineLevel="0" collapsed="false"/>
    <row r="2415" customFormat="false" ht="15" hidden="false" customHeight="false" outlineLevel="0" collapsed="false"/>
    <row r="2416" customFormat="false" ht="15" hidden="false" customHeight="false" outlineLevel="0" collapsed="false"/>
    <row r="2417" customFormat="false" ht="15" hidden="false" customHeight="false" outlineLevel="0" collapsed="false"/>
    <row r="2418" customFormat="false" ht="15" hidden="false" customHeight="false" outlineLevel="0" collapsed="false"/>
    <row r="2419" customFormat="false" ht="15" hidden="false" customHeight="false" outlineLevel="0" collapsed="false"/>
    <row r="2420" customFormat="false" ht="15" hidden="false" customHeight="false" outlineLevel="0" collapsed="false"/>
    <row r="2421" customFormat="false" ht="15" hidden="false" customHeight="false" outlineLevel="0" collapsed="false"/>
    <row r="2422" customFormat="false" ht="15" hidden="false" customHeight="false" outlineLevel="0" collapsed="false"/>
    <row r="2423" customFormat="false" ht="15" hidden="false" customHeight="false" outlineLevel="0" collapsed="false"/>
    <row r="2424" customFormat="false" ht="15" hidden="false" customHeight="false" outlineLevel="0" collapsed="false"/>
    <row r="2425" customFormat="false" ht="15" hidden="false" customHeight="false" outlineLevel="0" collapsed="false"/>
    <row r="2426" customFormat="false" ht="15" hidden="false" customHeight="false" outlineLevel="0" collapsed="false"/>
    <row r="2427" customFormat="false" ht="15" hidden="false" customHeight="false" outlineLevel="0" collapsed="false"/>
    <row r="2428" customFormat="false" ht="15" hidden="false" customHeight="false" outlineLevel="0" collapsed="false"/>
    <row r="2429" customFormat="false" ht="15" hidden="false" customHeight="false" outlineLevel="0" collapsed="false"/>
    <row r="2430" customFormat="false" ht="15" hidden="false" customHeight="false" outlineLevel="0" collapsed="false"/>
    <row r="2431" customFormat="false" ht="15" hidden="false" customHeight="false" outlineLevel="0" collapsed="false"/>
    <row r="2432" customFormat="false" ht="15" hidden="false" customHeight="false" outlineLevel="0" collapsed="false"/>
    <row r="2433" customFormat="false" ht="15" hidden="false" customHeight="false" outlineLevel="0" collapsed="false"/>
    <row r="2434" customFormat="false" ht="15" hidden="false" customHeight="false" outlineLevel="0" collapsed="false"/>
    <row r="2435" customFormat="false" ht="15" hidden="false" customHeight="false" outlineLevel="0" collapsed="false"/>
    <row r="2436" customFormat="false" ht="15" hidden="false" customHeight="false" outlineLevel="0" collapsed="false"/>
    <row r="2437" customFormat="false" ht="15" hidden="false" customHeight="false" outlineLevel="0" collapsed="false"/>
    <row r="2438" customFormat="false" ht="15" hidden="false" customHeight="false" outlineLevel="0" collapsed="false"/>
    <row r="2439" customFormat="false" ht="15" hidden="false" customHeight="false" outlineLevel="0" collapsed="false"/>
    <row r="2440" customFormat="false" ht="15" hidden="false" customHeight="false" outlineLevel="0" collapsed="false"/>
    <row r="2441" customFormat="false" ht="15" hidden="false" customHeight="false" outlineLevel="0" collapsed="false"/>
    <row r="2442" customFormat="false" ht="15" hidden="false" customHeight="false" outlineLevel="0" collapsed="false"/>
    <row r="2443" customFormat="false" ht="15" hidden="false" customHeight="false" outlineLevel="0" collapsed="false"/>
    <row r="2444" customFormat="false" ht="15" hidden="false" customHeight="false" outlineLevel="0" collapsed="false"/>
    <row r="2445" customFormat="false" ht="15" hidden="false" customHeight="false" outlineLevel="0" collapsed="false"/>
    <row r="2446" customFormat="false" ht="15" hidden="false" customHeight="false" outlineLevel="0" collapsed="false"/>
    <row r="2447" customFormat="false" ht="15" hidden="false" customHeight="false" outlineLevel="0" collapsed="false"/>
    <row r="2448" customFormat="false" ht="15" hidden="false" customHeight="false" outlineLevel="0" collapsed="false"/>
    <row r="2449" customFormat="false" ht="15" hidden="false" customHeight="false" outlineLevel="0" collapsed="false"/>
    <row r="2450" customFormat="false" ht="15" hidden="false" customHeight="false" outlineLevel="0" collapsed="false"/>
    <row r="2451" customFormat="false" ht="15" hidden="false" customHeight="false" outlineLevel="0" collapsed="false"/>
    <row r="2452" customFormat="false" ht="15" hidden="false" customHeight="false" outlineLevel="0" collapsed="false"/>
    <row r="2453" customFormat="false" ht="15" hidden="false" customHeight="false" outlineLevel="0" collapsed="false"/>
    <row r="2454" customFormat="false" ht="15" hidden="false" customHeight="false" outlineLevel="0" collapsed="false"/>
    <row r="2455" customFormat="false" ht="15" hidden="false" customHeight="false" outlineLevel="0" collapsed="false"/>
    <row r="2456" customFormat="false" ht="15" hidden="false" customHeight="false" outlineLevel="0" collapsed="false"/>
    <row r="2457" customFormat="false" ht="15" hidden="false" customHeight="false" outlineLevel="0" collapsed="false"/>
    <row r="2458" customFormat="false" ht="15" hidden="false" customHeight="false" outlineLevel="0" collapsed="false"/>
    <row r="2459" customFormat="false" ht="15" hidden="false" customHeight="false" outlineLevel="0" collapsed="false"/>
    <row r="2460" customFormat="false" ht="15" hidden="false" customHeight="false" outlineLevel="0" collapsed="false"/>
    <row r="2461" customFormat="false" ht="15" hidden="false" customHeight="false" outlineLevel="0" collapsed="false"/>
    <row r="2462" customFormat="false" ht="15" hidden="false" customHeight="false" outlineLevel="0" collapsed="false"/>
    <row r="2463" customFormat="false" ht="15" hidden="false" customHeight="false" outlineLevel="0" collapsed="false"/>
    <row r="2464" customFormat="false" ht="15" hidden="false" customHeight="false" outlineLevel="0" collapsed="false"/>
    <row r="2465" customFormat="false" ht="15" hidden="false" customHeight="false" outlineLevel="0" collapsed="false"/>
    <row r="2466" customFormat="false" ht="15" hidden="false" customHeight="false" outlineLevel="0" collapsed="false"/>
    <row r="2467" customFormat="false" ht="15" hidden="false" customHeight="false" outlineLevel="0" collapsed="false"/>
    <row r="2468" customFormat="false" ht="15" hidden="false" customHeight="false" outlineLevel="0" collapsed="false"/>
    <row r="2469" customFormat="false" ht="15" hidden="false" customHeight="false" outlineLevel="0" collapsed="false"/>
    <row r="2470" customFormat="false" ht="15" hidden="false" customHeight="false" outlineLevel="0" collapsed="false"/>
    <row r="2471" customFormat="false" ht="15" hidden="false" customHeight="false" outlineLevel="0" collapsed="false"/>
    <row r="2472" customFormat="false" ht="15" hidden="false" customHeight="false" outlineLevel="0" collapsed="false"/>
    <row r="2473" customFormat="false" ht="15" hidden="false" customHeight="false" outlineLevel="0" collapsed="false"/>
    <row r="2474" customFormat="false" ht="15" hidden="false" customHeight="false" outlineLevel="0" collapsed="false"/>
    <row r="2475" customFormat="false" ht="15" hidden="false" customHeight="false" outlineLevel="0" collapsed="false"/>
    <row r="2476" customFormat="false" ht="15" hidden="false" customHeight="false" outlineLevel="0" collapsed="false"/>
    <row r="2477" customFormat="false" ht="15" hidden="false" customHeight="false" outlineLevel="0" collapsed="false"/>
    <row r="2478" customFormat="false" ht="15" hidden="false" customHeight="false" outlineLevel="0" collapsed="false"/>
    <row r="2479" customFormat="false" ht="15" hidden="false" customHeight="false" outlineLevel="0" collapsed="false"/>
    <row r="2480" customFormat="false" ht="15" hidden="false" customHeight="false" outlineLevel="0" collapsed="false"/>
    <row r="2481" customFormat="false" ht="15" hidden="false" customHeight="false" outlineLevel="0" collapsed="false"/>
    <row r="2482" customFormat="false" ht="15" hidden="false" customHeight="false" outlineLevel="0" collapsed="false"/>
    <row r="2483" customFormat="false" ht="15" hidden="false" customHeight="false" outlineLevel="0" collapsed="false"/>
    <row r="2484" customFormat="false" ht="15" hidden="false" customHeight="false" outlineLevel="0" collapsed="false"/>
    <row r="2485" customFormat="false" ht="15" hidden="false" customHeight="false" outlineLevel="0" collapsed="false"/>
    <row r="2486" customFormat="false" ht="15" hidden="false" customHeight="false" outlineLevel="0" collapsed="false"/>
    <row r="2487" customFormat="false" ht="15" hidden="false" customHeight="false" outlineLevel="0" collapsed="false"/>
    <row r="2488" customFormat="false" ht="15" hidden="false" customHeight="false" outlineLevel="0" collapsed="false"/>
    <row r="2489" customFormat="false" ht="15" hidden="false" customHeight="false" outlineLevel="0" collapsed="false"/>
    <row r="2490" customFormat="false" ht="15" hidden="false" customHeight="false" outlineLevel="0" collapsed="false"/>
    <row r="2491" customFormat="false" ht="15" hidden="false" customHeight="false" outlineLevel="0" collapsed="false"/>
    <row r="2492" customFormat="false" ht="15" hidden="false" customHeight="false" outlineLevel="0" collapsed="false"/>
    <row r="2493" customFormat="false" ht="15" hidden="false" customHeight="false" outlineLevel="0" collapsed="false"/>
    <row r="2494" customFormat="false" ht="15" hidden="false" customHeight="false" outlineLevel="0" collapsed="false"/>
    <row r="2495" customFormat="false" ht="15" hidden="false" customHeight="false" outlineLevel="0" collapsed="false"/>
    <row r="2496" customFormat="false" ht="15" hidden="false" customHeight="false" outlineLevel="0" collapsed="false"/>
    <row r="2497" customFormat="false" ht="15" hidden="false" customHeight="false" outlineLevel="0" collapsed="false"/>
    <row r="2498" customFormat="false" ht="15" hidden="false" customHeight="false" outlineLevel="0" collapsed="false"/>
    <row r="2499" customFormat="false" ht="15" hidden="false" customHeight="false" outlineLevel="0" collapsed="false"/>
    <row r="2500" customFormat="false" ht="15" hidden="false" customHeight="false" outlineLevel="0" collapsed="false"/>
    <row r="2501" customFormat="false" ht="15" hidden="false" customHeight="false" outlineLevel="0" collapsed="false"/>
    <row r="2502" customFormat="false" ht="15" hidden="false" customHeight="false" outlineLevel="0" collapsed="false"/>
    <row r="2503" customFormat="false" ht="15" hidden="false" customHeight="false" outlineLevel="0" collapsed="false"/>
    <row r="2504" customFormat="false" ht="15" hidden="false" customHeight="false" outlineLevel="0" collapsed="false"/>
    <row r="2505" customFormat="false" ht="15" hidden="false" customHeight="false" outlineLevel="0" collapsed="false"/>
    <row r="2506" customFormat="false" ht="15" hidden="false" customHeight="false" outlineLevel="0" collapsed="false"/>
    <row r="2507" customFormat="false" ht="15" hidden="false" customHeight="false" outlineLevel="0" collapsed="false"/>
    <row r="2508" customFormat="false" ht="15" hidden="false" customHeight="false" outlineLevel="0" collapsed="false"/>
    <row r="2509" customFormat="false" ht="15" hidden="false" customHeight="false" outlineLevel="0" collapsed="false"/>
    <row r="2510" customFormat="false" ht="15" hidden="false" customHeight="false" outlineLevel="0" collapsed="false"/>
    <row r="2511" customFormat="false" ht="15" hidden="false" customHeight="false" outlineLevel="0" collapsed="false"/>
    <row r="2512" customFormat="false" ht="15" hidden="false" customHeight="false" outlineLevel="0" collapsed="false"/>
    <row r="2513" customFormat="false" ht="15" hidden="false" customHeight="false" outlineLevel="0" collapsed="false"/>
    <row r="2514" customFormat="false" ht="15" hidden="false" customHeight="false" outlineLevel="0" collapsed="false"/>
    <row r="2515" customFormat="false" ht="15" hidden="false" customHeight="false" outlineLevel="0" collapsed="false"/>
    <row r="2516" customFormat="false" ht="15" hidden="false" customHeight="false" outlineLevel="0" collapsed="false"/>
    <row r="2517" customFormat="false" ht="15" hidden="false" customHeight="false" outlineLevel="0" collapsed="false"/>
    <row r="2518" customFormat="false" ht="15" hidden="false" customHeight="false" outlineLevel="0" collapsed="false"/>
    <row r="2519" customFormat="false" ht="15" hidden="false" customHeight="false" outlineLevel="0" collapsed="false"/>
    <row r="2520" customFormat="false" ht="15" hidden="false" customHeight="false" outlineLevel="0" collapsed="false"/>
    <row r="2521" customFormat="false" ht="15" hidden="false" customHeight="false" outlineLevel="0" collapsed="false"/>
    <row r="2522" customFormat="false" ht="15" hidden="false" customHeight="false" outlineLevel="0" collapsed="false"/>
    <row r="2523" customFormat="false" ht="15" hidden="false" customHeight="false" outlineLevel="0" collapsed="false"/>
    <row r="2524" customFormat="false" ht="15" hidden="false" customHeight="false" outlineLevel="0" collapsed="false"/>
    <row r="2525" customFormat="false" ht="15" hidden="false" customHeight="false" outlineLevel="0" collapsed="false"/>
    <row r="2526" customFormat="false" ht="15" hidden="false" customHeight="false" outlineLevel="0" collapsed="false"/>
    <row r="2527" customFormat="false" ht="15" hidden="false" customHeight="false" outlineLevel="0" collapsed="false"/>
    <row r="2528" customFormat="false" ht="15" hidden="false" customHeight="false" outlineLevel="0" collapsed="false"/>
    <row r="2529" customFormat="false" ht="15" hidden="false" customHeight="false" outlineLevel="0" collapsed="false"/>
    <row r="2530" customFormat="false" ht="15" hidden="false" customHeight="false" outlineLevel="0" collapsed="false"/>
    <row r="2531" customFormat="false" ht="15" hidden="false" customHeight="false" outlineLevel="0" collapsed="false"/>
    <row r="2532" customFormat="false" ht="15" hidden="false" customHeight="false" outlineLevel="0" collapsed="false"/>
    <row r="2533" customFormat="false" ht="15" hidden="false" customHeight="false" outlineLevel="0" collapsed="false"/>
    <row r="2534" customFormat="false" ht="15" hidden="false" customHeight="false" outlineLevel="0" collapsed="false"/>
    <row r="2535" customFormat="false" ht="15" hidden="false" customHeight="false" outlineLevel="0" collapsed="false"/>
    <row r="2536" customFormat="false" ht="15" hidden="false" customHeight="false" outlineLevel="0" collapsed="false"/>
    <row r="2537" customFormat="false" ht="15" hidden="false" customHeight="false" outlineLevel="0" collapsed="false"/>
    <row r="2538" customFormat="false" ht="15" hidden="false" customHeight="false" outlineLevel="0" collapsed="false"/>
    <row r="2539" customFormat="false" ht="15" hidden="false" customHeight="false" outlineLevel="0" collapsed="false"/>
    <row r="2540" customFormat="false" ht="15" hidden="false" customHeight="false" outlineLevel="0" collapsed="false"/>
    <row r="2541" customFormat="false" ht="15" hidden="false" customHeight="false" outlineLevel="0" collapsed="false"/>
    <row r="2542" customFormat="false" ht="15" hidden="false" customHeight="false" outlineLevel="0" collapsed="false"/>
    <row r="2543" customFormat="false" ht="15" hidden="false" customHeight="false" outlineLevel="0" collapsed="false"/>
    <row r="2544" customFormat="false" ht="15" hidden="false" customHeight="false" outlineLevel="0" collapsed="false"/>
    <row r="2545" customFormat="false" ht="15" hidden="false" customHeight="false" outlineLevel="0" collapsed="false"/>
    <row r="2546" customFormat="false" ht="15" hidden="false" customHeight="false" outlineLevel="0" collapsed="false"/>
    <row r="2547" customFormat="false" ht="15" hidden="false" customHeight="false" outlineLevel="0" collapsed="false"/>
    <row r="2548" customFormat="false" ht="15" hidden="false" customHeight="false" outlineLevel="0" collapsed="false"/>
    <row r="2549" customFormat="false" ht="15" hidden="false" customHeight="false" outlineLevel="0" collapsed="false"/>
    <row r="2550" customFormat="false" ht="15" hidden="false" customHeight="false" outlineLevel="0" collapsed="false"/>
    <row r="2551" customFormat="false" ht="15" hidden="false" customHeight="false" outlineLevel="0" collapsed="false"/>
    <row r="2552" customFormat="false" ht="15" hidden="false" customHeight="false" outlineLevel="0" collapsed="false"/>
    <row r="2553" customFormat="false" ht="15" hidden="false" customHeight="false" outlineLevel="0" collapsed="false"/>
    <row r="2554" customFormat="false" ht="15" hidden="false" customHeight="false" outlineLevel="0" collapsed="false"/>
    <row r="2555" customFormat="false" ht="15" hidden="false" customHeight="false" outlineLevel="0" collapsed="false"/>
    <row r="2556" customFormat="false" ht="15" hidden="false" customHeight="false" outlineLevel="0" collapsed="false"/>
    <row r="2557" customFormat="false" ht="15" hidden="false" customHeight="false" outlineLevel="0" collapsed="false"/>
    <row r="2558" customFormat="false" ht="15" hidden="false" customHeight="false" outlineLevel="0" collapsed="false"/>
    <row r="2559" customFormat="false" ht="15" hidden="false" customHeight="false" outlineLevel="0" collapsed="false"/>
    <row r="2560" customFormat="false" ht="15" hidden="false" customHeight="false" outlineLevel="0" collapsed="false"/>
    <row r="2561" customFormat="false" ht="15" hidden="false" customHeight="false" outlineLevel="0" collapsed="false"/>
    <row r="2562" customFormat="false" ht="15" hidden="false" customHeight="false" outlineLevel="0" collapsed="false"/>
    <row r="2563" customFormat="false" ht="15" hidden="false" customHeight="false" outlineLevel="0" collapsed="false"/>
    <row r="2564" customFormat="false" ht="15" hidden="false" customHeight="false" outlineLevel="0" collapsed="false"/>
    <row r="2565" customFormat="false" ht="15" hidden="false" customHeight="false" outlineLevel="0" collapsed="false"/>
    <row r="2566" customFormat="false" ht="15" hidden="false" customHeight="false" outlineLevel="0" collapsed="false"/>
    <row r="2567" customFormat="false" ht="15" hidden="false" customHeight="false" outlineLevel="0" collapsed="false"/>
    <row r="2568" customFormat="false" ht="15" hidden="false" customHeight="false" outlineLevel="0" collapsed="false"/>
    <row r="2569" customFormat="false" ht="15" hidden="false" customHeight="false" outlineLevel="0" collapsed="false"/>
    <row r="2570" customFormat="false" ht="15" hidden="false" customHeight="false" outlineLevel="0" collapsed="false"/>
    <row r="2571" customFormat="false" ht="15" hidden="false" customHeight="false" outlineLevel="0" collapsed="false"/>
    <row r="2572" customFormat="false" ht="15" hidden="false" customHeight="false" outlineLevel="0" collapsed="false"/>
    <row r="2573" customFormat="false" ht="15" hidden="false" customHeight="false" outlineLevel="0" collapsed="false"/>
    <row r="2574" customFormat="false" ht="15" hidden="false" customHeight="false" outlineLevel="0" collapsed="false"/>
    <row r="2575" customFormat="false" ht="15" hidden="false" customHeight="false" outlineLevel="0" collapsed="false"/>
    <row r="2576" customFormat="false" ht="15" hidden="false" customHeight="false" outlineLevel="0" collapsed="false"/>
    <row r="2577" customFormat="false" ht="15" hidden="false" customHeight="false" outlineLevel="0" collapsed="false"/>
    <row r="2578" customFormat="false" ht="15" hidden="false" customHeight="false" outlineLevel="0" collapsed="false"/>
    <row r="2579" customFormat="false" ht="15" hidden="false" customHeight="false" outlineLevel="0" collapsed="false"/>
    <row r="2580" customFormat="false" ht="15" hidden="false" customHeight="false" outlineLevel="0" collapsed="false"/>
    <row r="2581" customFormat="false" ht="15" hidden="false" customHeight="false" outlineLevel="0" collapsed="false"/>
    <row r="2582" customFormat="false" ht="15" hidden="false" customHeight="false" outlineLevel="0" collapsed="false"/>
    <row r="2583" customFormat="false" ht="15" hidden="false" customHeight="false" outlineLevel="0" collapsed="false"/>
    <row r="2584" customFormat="false" ht="15" hidden="false" customHeight="false" outlineLevel="0" collapsed="false"/>
    <row r="2585" customFormat="false" ht="15" hidden="false" customHeight="false" outlineLevel="0" collapsed="false"/>
    <row r="2586" customFormat="false" ht="15" hidden="false" customHeight="false" outlineLevel="0" collapsed="false"/>
    <row r="2587" customFormat="false" ht="15" hidden="false" customHeight="false" outlineLevel="0" collapsed="false"/>
    <row r="2588" customFormat="false" ht="15" hidden="false" customHeight="false" outlineLevel="0" collapsed="false"/>
    <row r="2589" customFormat="false" ht="15" hidden="false" customHeight="false" outlineLevel="0" collapsed="false"/>
    <row r="2590" customFormat="false" ht="15" hidden="false" customHeight="false" outlineLevel="0" collapsed="false"/>
    <row r="2591" customFormat="false" ht="15" hidden="false" customHeight="false" outlineLevel="0" collapsed="false"/>
    <row r="2592" customFormat="false" ht="15" hidden="false" customHeight="false" outlineLevel="0" collapsed="false"/>
    <row r="2593" customFormat="false" ht="15" hidden="false" customHeight="false" outlineLevel="0" collapsed="false"/>
    <row r="2594" customFormat="false" ht="15" hidden="false" customHeight="false" outlineLevel="0" collapsed="false"/>
    <row r="2595" customFormat="false" ht="15" hidden="false" customHeight="false" outlineLevel="0" collapsed="false"/>
    <row r="2596" customFormat="false" ht="15" hidden="false" customHeight="false" outlineLevel="0" collapsed="false"/>
    <row r="2597" customFormat="false" ht="15" hidden="false" customHeight="false" outlineLevel="0" collapsed="false"/>
    <row r="2598" customFormat="false" ht="15" hidden="false" customHeight="false" outlineLevel="0" collapsed="false"/>
    <row r="2599" customFormat="false" ht="15" hidden="false" customHeight="false" outlineLevel="0" collapsed="false"/>
    <row r="2600" customFormat="false" ht="15" hidden="false" customHeight="false" outlineLevel="0" collapsed="false"/>
    <row r="2601" customFormat="false" ht="15" hidden="false" customHeight="false" outlineLevel="0" collapsed="false"/>
    <row r="2602" customFormat="false" ht="15" hidden="false" customHeight="false" outlineLevel="0" collapsed="false"/>
    <row r="2603" customFormat="false" ht="15" hidden="false" customHeight="false" outlineLevel="0" collapsed="false"/>
    <row r="2604" customFormat="false" ht="15" hidden="false" customHeight="false" outlineLevel="0" collapsed="false"/>
    <row r="2605" customFormat="false" ht="15" hidden="false" customHeight="false" outlineLevel="0" collapsed="false"/>
    <row r="2606" customFormat="false" ht="15" hidden="false" customHeight="false" outlineLevel="0" collapsed="false"/>
    <row r="2607" customFormat="false" ht="15" hidden="false" customHeight="false" outlineLevel="0" collapsed="false"/>
    <row r="2608" customFormat="false" ht="15" hidden="false" customHeight="false" outlineLevel="0" collapsed="false"/>
    <row r="2609" customFormat="false" ht="15" hidden="false" customHeight="false" outlineLevel="0" collapsed="false"/>
    <row r="2610" customFormat="false" ht="15" hidden="false" customHeight="false" outlineLevel="0" collapsed="false"/>
    <row r="2611" customFormat="false" ht="15" hidden="false" customHeight="false" outlineLevel="0" collapsed="false"/>
    <row r="2612" customFormat="false" ht="15" hidden="false" customHeight="false" outlineLevel="0" collapsed="false"/>
    <row r="2613" customFormat="false" ht="15" hidden="false" customHeight="false" outlineLevel="0" collapsed="false"/>
    <row r="2614" customFormat="false" ht="15" hidden="false" customHeight="false" outlineLevel="0" collapsed="false"/>
    <row r="2615" customFormat="false" ht="15" hidden="false" customHeight="false" outlineLevel="0" collapsed="false"/>
    <row r="2616" customFormat="false" ht="15" hidden="false" customHeight="false" outlineLevel="0" collapsed="false"/>
    <row r="2617" customFormat="false" ht="15" hidden="false" customHeight="false" outlineLevel="0" collapsed="false"/>
    <row r="2618" customFormat="false" ht="15" hidden="false" customHeight="false" outlineLevel="0" collapsed="false"/>
    <row r="2619" customFormat="false" ht="15" hidden="false" customHeight="false" outlineLevel="0" collapsed="false"/>
    <row r="2620" customFormat="false" ht="15" hidden="false" customHeight="false" outlineLevel="0" collapsed="false"/>
    <row r="2621" customFormat="false" ht="15" hidden="false" customHeight="false" outlineLevel="0" collapsed="false"/>
    <row r="2622" customFormat="false" ht="15" hidden="false" customHeight="false" outlineLevel="0" collapsed="false"/>
    <row r="2623" customFormat="false" ht="15" hidden="false" customHeight="false" outlineLevel="0" collapsed="false"/>
    <row r="2624" customFormat="false" ht="15" hidden="false" customHeight="false" outlineLevel="0" collapsed="false"/>
    <row r="2625" customFormat="false" ht="15" hidden="false" customHeight="false" outlineLevel="0" collapsed="false"/>
    <row r="2626" customFormat="false" ht="15" hidden="false" customHeight="false" outlineLevel="0" collapsed="false"/>
    <row r="2627" customFormat="false" ht="15" hidden="false" customHeight="false" outlineLevel="0" collapsed="false"/>
    <row r="2628" customFormat="false" ht="15" hidden="false" customHeight="false" outlineLevel="0" collapsed="false"/>
    <row r="2629" customFormat="false" ht="15" hidden="false" customHeight="false" outlineLevel="0" collapsed="false"/>
    <row r="2630" customFormat="false" ht="15" hidden="false" customHeight="false" outlineLevel="0" collapsed="false"/>
    <row r="2631" customFormat="false" ht="15" hidden="false" customHeight="false" outlineLevel="0" collapsed="false"/>
    <row r="2632" customFormat="false" ht="15" hidden="false" customHeight="false" outlineLevel="0" collapsed="false"/>
    <row r="2633" customFormat="false" ht="15" hidden="false" customHeight="false" outlineLevel="0" collapsed="false"/>
    <row r="2634" customFormat="false" ht="15" hidden="false" customHeight="false" outlineLevel="0" collapsed="false"/>
    <row r="2635" customFormat="false" ht="15" hidden="false" customHeight="false" outlineLevel="0" collapsed="false"/>
    <row r="2636" customFormat="false" ht="15" hidden="false" customHeight="false" outlineLevel="0" collapsed="false"/>
    <row r="2637" customFormat="false" ht="15" hidden="false" customHeight="false" outlineLevel="0" collapsed="false"/>
    <row r="2638" customFormat="false" ht="15" hidden="false" customHeight="false" outlineLevel="0" collapsed="false"/>
    <row r="2639" customFormat="false" ht="15" hidden="false" customHeight="false" outlineLevel="0" collapsed="false"/>
    <row r="2640" customFormat="false" ht="15" hidden="false" customHeight="false" outlineLevel="0" collapsed="false"/>
    <row r="2641" customFormat="false" ht="15" hidden="false" customHeight="false" outlineLevel="0" collapsed="false"/>
    <row r="2642" customFormat="false" ht="15" hidden="false" customHeight="false" outlineLevel="0" collapsed="false"/>
    <row r="2643" customFormat="false" ht="15" hidden="false" customHeight="false" outlineLevel="0" collapsed="false"/>
    <row r="2644" customFormat="false" ht="15" hidden="false" customHeight="false" outlineLevel="0" collapsed="false"/>
    <row r="2645" customFormat="false" ht="15" hidden="false" customHeight="false" outlineLevel="0" collapsed="false"/>
    <row r="2646" customFormat="false" ht="15" hidden="false" customHeight="false" outlineLevel="0" collapsed="false"/>
    <row r="2647" customFormat="false" ht="15" hidden="false" customHeight="false" outlineLevel="0" collapsed="false"/>
    <row r="2648" customFormat="false" ht="15" hidden="false" customHeight="false" outlineLevel="0" collapsed="false"/>
    <row r="2649" customFormat="false" ht="15" hidden="false" customHeight="false" outlineLevel="0" collapsed="false"/>
    <row r="2650" customFormat="false" ht="15" hidden="false" customHeight="false" outlineLevel="0" collapsed="false"/>
    <row r="2651" customFormat="false" ht="15" hidden="false" customHeight="false" outlineLevel="0" collapsed="false"/>
    <row r="2652" customFormat="false" ht="15" hidden="false" customHeight="false" outlineLevel="0" collapsed="false"/>
    <row r="2653" customFormat="false" ht="15" hidden="false" customHeight="false" outlineLevel="0" collapsed="false"/>
    <row r="2654" customFormat="false" ht="15" hidden="false" customHeight="false" outlineLevel="0" collapsed="false"/>
    <row r="2655" customFormat="false" ht="15" hidden="false" customHeight="false" outlineLevel="0" collapsed="false"/>
    <row r="2656" customFormat="false" ht="15" hidden="false" customHeight="false" outlineLevel="0" collapsed="false"/>
    <row r="2657" customFormat="false" ht="15" hidden="false" customHeight="false" outlineLevel="0" collapsed="false"/>
    <row r="2658" customFormat="false" ht="15" hidden="false" customHeight="false" outlineLevel="0" collapsed="false"/>
    <row r="2659" customFormat="false" ht="15" hidden="false" customHeight="false" outlineLevel="0" collapsed="false"/>
    <row r="2660" customFormat="false" ht="15" hidden="false" customHeight="false" outlineLevel="0" collapsed="false"/>
    <row r="2661" customFormat="false" ht="15" hidden="false" customHeight="false" outlineLevel="0" collapsed="false"/>
    <row r="2662" customFormat="false" ht="15" hidden="false" customHeight="false" outlineLevel="0" collapsed="false"/>
    <row r="2663" customFormat="false" ht="15" hidden="false" customHeight="false" outlineLevel="0" collapsed="false"/>
    <row r="2664" customFormat="false" ht="15" hidden="false" customHeight="false" outlineLevel="0" collapsed="false"/>
    <row r="2665" customFormat="false" ht="15" hidden="false" customHeight="false" outlineLevel="0" collapsed="false"/>
    <row r="2666" customFormat="false" ht="15" hidden="false" customHeight="false" outlineLevel="0" collapsed="false"/>
    <row r="2667" customFormat="false" ht="15" hidden="false" customHeight="false" outlineLevel="0" collapsed="false"/>
    <row r="2668" customFormat="false" ht="15" hidden="false" customHeight="false" outlineLevel="0" collapsed="false"/>
    <row r="2669" customFormat="false" ht="15" hidden="false" customHeight="false" outlineLevel="0" collapsed="false"/>
    <row r="2670" customFormat="false" ht="15" hidden="false" customHeight="false" outlineLevel="0" collapsed="false"/>
    <row r="2671" customFormat="false" ht="15" hidden="false" customHeight="false" outlineLevel="0" collapsed="false"/>
    <row r="2672" customFormat="false" ht="15" hidden="false" customHeight="false" outlineLevel="0" collapsed="false"/>
    <row r="2673" customFormat="false" ht="15" hidden="false" customHeight="false" outlineLevel="0" collapsed="false"/>
    <row r="2674" customFormat="false" ht="15" hidden="false" customHeight="false" outlineLevel="0" collapsed="false"/>
    <row r="2675" customFormat="false" ht="15" hidden="false" customHeight="false" outlineLevel="0" collapsed="false"/>
    <row r="2676" customFormat="false" ht="15" hidden="false" customHeight="false" outlineLevel="0" collapsed="false"/>
    <row r="2677" customFormat="false" ht="15" hidden="false" customHeight="false" outlineLevel="0" collapsed="false"/>
    <row r="2678" customFormat="false" ht="15" hidden="false" customHeight="false" outlineLevel="0" collapsed="false"/>
    <row r="2679" customFormat="false" ht="15" hidden="false" customHeight="false" outlineLevel="0" collapsed="false"/>
    <row r="2680" customFormat="false" ht="15" hidden="false" customHeight="false" outlineLevel="0" collapsed="false"/>
    <row r="2681" customFormat="false" ht="15" hidden="false" customHeight="false" outlineLevel="0" collapsed="false"/>
    <row r="2682" customFormat="false" ht="15" hidden="false" customHeight="false" outlineLevel="0" collapsed="false"/>
    <row r="2683" customFormat="false" ht="15" hidden="false" customHeight="false" outlineLevel="0" collapsed="false"/>
    <row r="2684" customFormat="false" ht="15" hidden="false" customHeight="false" outlineLevel="0" collapsed="false"/>
    <row r="2685" customFormat="false" ht="15" hidden="false" customHeight="false" outlineLevel="0" collapsed="false"/>
    <row r="2686" customFormat="false" ht="15" hidden="false" customHeight="false" outlineLevel="0" collapsed="false"/>
    <row r="2687" customFormat="false" ht="15" hidden="false" customHeight="false" outlineLevel="0" collapsed="false"/>
    <row r="2688" customFormat="false" ht="15" hidden="false" customHeight="false" outlineLevel="0" collapsed="false"/>
    <row r="2689" customFormat="false" ht="15" hidden="false" customHeight="false" outlineLevel="0" collapsed="false"/>
    <row r="2690" customFormat="false" ht="15" hidden="false" customHeight="false" outlineLevel="0" collapsed="false"/>
    <row r="2691" customFormat="false" ht="15" hidden="false" customHeight="false" outlineLevel="0" collapsed="false"/>
    <row r="2692" customFormat="false" ht="15" hidden="false" customHeight="false" outlineLevel="0" collapsed="false"/>
    <row r="2693" customFormat="false" ht="15" hidden="false" customHeight="false" outlineLevel="0" collapsed="false"/>
    <row r="2694" customFormat="false" ht="15" hidden="false" customHeight="false" outlineLevel="0" collapsed="false"/>
    <row r="2695" customFormat="false" ht="15" hidden="false" customHeight="false" outlineLevel="0" collapsed="false"/>
    <row r="2696" customFormat="false" ht="15" hidden="false" customHeight="false" outlineLevel="0" collapsed="false"/>
    <row r="2697" customFormat="false" ht="15" hidden="false" customHeight="false" outlineLevel="0" collapsed="false"/>
    <row r="2698" customFormat="false" ht="15" hidden="false" customHeight="false" outlineLevel="0" collapsed="false"/>
    <row r="2699" customFormat="false" ht="15" hidden="false" customHeight="false" outlineLevel="0" collapsed="false"/>
    <row r="2700" customFormat="false" ht="15" hidden="false" customHeight="false" outlineLevel="0" collapsed="false"/>
    <row r="2701" customFormat="false" ht="15" hidden="false" customHeight="false" outlineLevel="0" collapsed="false"/>
    <row r="2702" customFormat="false" ht="15" hidden="false" customHeight="false" outlineLevel="0" collapsed="false"/>
    <row r="2703" customFormat="false" ht="15" hidden="false" customHeight="false" outlineLevel="0" collapsed="false"/>
    <row r="2704" customFormat="false" ht="15" hidden="false" customHeight="false" outlineLevel="0" collapsed="false"/>
    <row r="2705" customFormat="false" ht="15" hidden="false" customHeight="false" outlineLevel="0" collapsed="false"/>
    <row r="2706" customFormat="false" ht="15" hidden="false" customHeight="false" outlineLevel="0" collapsed="false"/>
    <row r="2707" customFormat="false" ht="15" hidden="false" customHeight="false" outlineLevel="0" collapsed="false"/>
    <row r="2708" customFormat="false" ht="15" hidden="false" customHeight="false" outlineLevel="0" collapsed="false"/>
    <row r="2709" customFormat="false" ht="15" hidden="false" customHeight="false" outlineLevel="0" collapsed="false"/>
    <row r="2710" customFormat="false" ht="15" hidden="false" customHeight="false" outlineLevel="0" collapsed="false"/>
    <row r="2711" customFormat="false" ht="15" hidden="false" customHeight="false" outlineLevel="0" collapsed="false"/>
    <row r="2712" customFormat="false" ht="15" hidden="false" customHeight="false" outlineLevel="0" collapsed="false"/>
    <row r="2713" customFormat="false" ht="15" hidden="false" customHeight="false" outlineLevel="0" collapsed="false"/>
    <row r="2714" customFormat="false" ht="15" hidden="false" customHeight="false" outlineLevel="0" collapsed="false"/>
    <row r="2715" customFormat="false" ht="15" hidden="false" customHeight="false" outlineLevel="0" collapsed="false"/>
    <row r="2716" customFormat="false" ht="15" hidden="false" customHeight="false" outlineLevel="0" collapsed="false"/>
    <row r="2717" customFormat="false" ht="15" hidden="false" customHeight="false" outlineLevel="0" collapsed="false"/>
    <row r="2718" customFormat="false" ht="15" hidden="false" customHeight="false" outlineLevel="0" collapsed="false"/>
    <row r="2719" customFormat="false" ht="15" hidden="false" customHeight="false" outlineLevel="0" collapsed="false"/>
    <row r="2720" customFormat="false" ht="15" hidden="false" customHeight="false" outlineLevel="0" collapsed="false"/>
    <row r="2721" customFormat="false" ht="15" hidden="false" customHeight="false" outlineLevel="0" collapsed="false"/>
    <row r="2722" customFormat="false" ht="15" hidden="false" customHeight="false" outlineLevel="0" collapsed="false"/>
    <row r="2723" customFormat="false" ht="15" hidden="false" customHeight="false" outlineLevel="0" collapsed="false"/>
    <row r="2724" customFormat="false" ht="15" hidden="false" customHeight="false" outlineLevel="0" collapsed="false"/>
    <row r="2725" customFormat="false" ht="15" hidden="false" customHeight="false" outlineLevel="0" collapsed="false"/>
    <row r="2726" customFormat="false" ht="15" hidden="false" customHeight="false" outlineLevel="0" collapsed="false"/>
    <row r="2727" customFormat="false" ht="15" hidden="false" customHeight="false" outlineLevel="0" collapsed="false"/>
    <row r="2728" customFormat="false" ht="15" hidden="false" customHeight="false" outlineLevel="0" collapsed="false"/>
    <row r="2729" customFormat="false" ht="15" hidden="false" customHeight="false" outlineLevel="0" collapsed="false"/>
    <row r="2730" customFormat="false" ht="15" hidden="false" customHeight="false" outlineLevel="0" collapsed="false"/>
    <row r="2731" customFormat="false" ht="15" hidden="false" customHeight="false" outlineLevel="0" collapsed="false"/>
    <row r="2732" customFormat="false" ht="15" hidden="false" customHeight="false" outlineLevel="0" collapsed="false"/>
    <row r="2733" customFormat="false" ht="15" hidden="false" customHeight="false" outlineLevel="0" collapsed="false"/>
    <row r="2734" customFormat="false" ht="15" hidden="false" customHeight="false" outlineLevel="0" collapsed="false"/>
    <row r="2735" customFormat="false" ht="15" hidden="false" customHeight="false" outlineLevel="0" collapsed="false"/>
    <row r="2736" customFormat="false" ht="15" hidden="false" customHeight="false" outlineLevel="0" collapsed="false"/>
    <row r="2737" customFormat="false" ht="15" hidden="false" customHeight="false" outlineLevel="0" collapsed="false"/>
    <row r="2738" customFormat="false" ht="15" hidden="false" customHeight="false" outlineLevel="0" collapsed="false"/>
    <row r="2739" customFormat="false" ht="15" hidden="false" customHeight="false" outlineLevel="0" collapsed="false"/>
    <row r="2740" customFormat="false" ht="15" hidden="false" customHeight="false" outlineLevel="0" collapsed="false"/>
    <row r="2741" customFormat="false" ht="15" hidden="false" customHeight="false" outlineLevel="0" collapsed="false"/>
    <row r="2742" customFormat="false" ht="15" hidden="false" customHeight="false" outlineLevel="0" collapsed="false"/>
    <row r="2743" customFormat="false" ht="15" hidden="false" customHeight="false" outlineLevel="0" collapsed="false"/>
    <row r="2744" customFormat="false" ht="15" hidden="false" customHeight="false" outlineLevel="0" collapsed="false"/>
    <row r="2745" customFormat="false" ht="15" hidden="false" customHeight="false" outlineLevel="0" collapsed="false"/>
    <row r="2746" customFormat="false" ht="15" hidden="false" customHeight="false" outlineLevel="0" collapsed="false"/>
    <row r="2747" customFormat="false" ht="15" hidden="false" customHeight="false" outlineLevel="0" collapsed="false"/>
    <row r="2748" customFormat="false" ht="15" hidden="false" customHeight="false" outlineLevel="0" collapsed="false"/>
    <row r="2749" customFormat="false" ht="15" hidden="false" customHeight="false" outlineLevel="0" collapsed="false"/>
    <row r="2750" customFormat="false" ht="15" hidden="false" customHeight="false" outlineLevel="0" collapsed="false"/>
    <row r="2751" customFormat="false" ht="15" hidden="false" customHeight="false" outlineLevel="0" collapsed="false"/>
    <row r="2752" customFormat="false" ht="15" hidden="false" customHeight="false" outlineLevel="0" collapsed="false"/>
    <row r="2753" customFormat="false" ht="15" hidden="false" customHeight="false" outlineLevel="0" collapsed="false"/>
    <row r="2754" customFormat="false" ht="15" hidden="false" customHeight="false" outlineLevel="0" collapsed="false"/>
    <row r="2755" customFormat="false" ht="15" hidden="false" customHeight="false" outlineLevel="0" collapsed="false"/>
    <row r="2756" customFormat="false" ht="15" hidden="false" customHeight="false" outlineLevel="0" collapsed="false"/>
    <row r="2757" customFormat="false" ht="15" hidden="false" customHeight="false" outlineLevel="0" collapsed="false"/>
    <row r="2758" customFormat="false" ht="15" hidden="false" customHeight="false" outlineLevel="0" collapsed="false"/>
    <row r="2759" customFormat="false" ht="15" hidden="false" customHeight="false" outlineLevel="0" collapsed="false"/>
    <row r="2760" customFormat="false" ht="15" hidden="false" customHeight="false" outlineLevel="0" collapsed="false"/>
    <row r="2761" customFormat="false" ht="15" hidden="false" customHeight="false" outlineLevel="0" collapsed="false"/>
    <row r="2762" customFormat="false" ht="15" hidden="false" customHeight="false" outlineLevel="0" collapsed="false"/>
    <row r="2763" customFormat="false" ht="15" hidden="false" customHeight="false" outlineLevel="0" collapsed="false"/>
    <row r="2764" customFormat="false" ht="15" hidden="false" customHeight="false" outlineLevel="0" collapsed="false"/>
    <row r="2765" customFormat="false" ht="15" hidden="false" customHeight="false" outlineLevel="0" collapsed="false"/>
    <row r="2766" customFormat="false" ht="15" hidden="false" customHeight="false" outlineLevel="0" collapsed="false"/>
    <row r="2767" customFormat="false" ht="15" hidden="false" customHeight="false" outlineLevel="0" collapsed="false"/>
    <row r="2768" customFormat="false" ht="15" hidden="false" customHeight="false" outlineLevel="0" collapsed="false"/>
    <row r="2769" customFormat="false" ht="15" hidden="false" customHeight="false" outlineLevel="0" collapsed="false"/>
    <row r="2770" customFormat="false" ht="15" hidden="false" customHeight="false" outlineLevel="0" collapsed="false"/>
    <row r="2771" customFormat="false" ht="15" hidden="false" customHeight="false" outlineLevel="0" collapsed="false"/>
    <row r="2772" customFormat="false" ht="15" hidden="false" customHeight="false" outlineLevel="0" collapsed="false"/>
    <row r="2773" customFormat="false" ht="15" hidden="false" customHeight="false" outlineLevel="0" collapsed="false"/>
    <row r="2774" customFormat="false" ht="15" hidden="false" customHeight="false" outlineLevel="0" collapsed="false"/>
    <row r="2775" customFormat="false" ht="15" hidden="false" customHeight="false" outlineLevel="0" collapsed="false"/>
    <row r="2776" customFormat="false" ht="15" hidden="false" customHeight="false" outlineLevel="0" collapsed="false"/>
    <row r="2777" customFormat="false" ht="15" hidden="false" customHeight="false" outlineLevel="0" collapsed="false"/>
    <row r="2778" customFormat="false" ht="15" hidden="false" customHeight="false" outlineLevel="0" collapsed="false"/>
    <row r="2779" customFormat="false" ht="15" hidden="false" customHeight="false" outlineLevel="0" collapsed="false"/>
    <row r="2780" customFormat="false" ht="15" hidden="false" customHeight="false" outlineLevel="0" collapsed="false"/>
    <row r="2781" customFormat="false" ht="15" hidden="false" customHeight="false" outlineLevel="0" collapsed="false"/>
    <row r="2782" customFormat="false" ht="15" hidden="false" customHeight="false" outlineLevel="0" collapsed="false"/>
    <row r="2783" customFormat="false" ht="15" hidden="false" customHeight="false" outlineLevel="0" collapsed="false"/>
    <row r="2784" customFormat="false" ht="15" hidden="false" customHeight="false" outlineLevel="0" collapsed="false"/>
    <row r="2785" customFormat="false" ht="15" hidden="false" customHeight="false" outlineLevel="0" collapsed="false"/>
    <row r="2786" customFormat="false" ht="15" hidden="false" customHeight="false" outlineLevel="0" collapsed="false"/>
    <row r="2787" customFormat="false" ht="15" hidden="false" customHeight="false" outlineLevel="0" collapsed="false"/>
    <row r="2788" customFormat="false" ht="15" hidden="false" customHeight="false" outlineLevel="0" collapsed="false"/>
    <row r="2789" customFormat="false" ht="15" hidden="false" customHeight="false" outlineLevel="0" collapsed="false"/>
    <row r="2790" customFormat="false" ht="15" hidden="false" customHeight="false" outlineLevel="0" collapsed="false"/>
    <row r="2791" customFormat="false" ht="15" hidden="false" customHeight="false" outlineLevel="0" collapsed="false"/>
    <row r="2792" customFormat="false" ht="15" hidden="false" customHeight="false" outlineLevel="0" collapsed="false"/>
    <row r="2793" customFormat="false" ht="15" hidden="false" customHeight="false" outlineLevel="0" collapsed="false"/>
    <row r="2794" customFormat="false" ht="15" hidden="false" customHeight="false" outlineLevel="0" collapsed="false"/>
    <row r="2795" customFormat="false" ht="15" hidden="false" customHeight="false" outlineLevel="0" collapsed="false"/>
    <row r="2796" customFormat="false" ht="15" hidden="false" customHeight="false" outlineLevel="0" collapsed="false"/>
    <row r="2797" customFormat="false" ht="15" hidden="false" customHeight="false" outlineLevel="0" collapsed="false"/>
    <row r="2798" customFormat="false" ht="15" hidden="false" customHeight="false" outlineLevel="0" collapsed="false"/>
    <row r="2799" customFormat="false" ht="15" hidden="false" customHeight="false" outlineLevel="0" collapsed="false"/>
    <row r="2800" customFormat="false" ht="15" hidden="false" customHeight="false" outlineLevel="0" collapsed="false"/>
    <row r="2801" customFormat="false" ht="15" hidden="false" customHeight="false" outlineLevel="0" collapsed="false"/>
    <row r="2802" customFormat="false" ht="15" hidden="false" customHeight="false" outlineLevel="0" collapsed="false"/>
    <row r="2803" customFormat="false" ht="15" hidden="false" customHeight="false" outlineLevel="0" collapsed="false"/>
    <row r="2804" customFormat="false" ht="15" hidden="false" customHeight="false" outlineLevel="0" collapsed="false"/>
    <row r="2805" customFormat="false" ht="15" hidden="false" customHeight="false" outlineLevel="0" collapsed="false"/>
    <row r="2806" customFormat="false" ht="15" hidden="false" customHeight="false" outlineLevel="0" collapsed="false"/>
    <row r="2807" customFormat="false" ht="15" hidden="false" customHeight="false" outlineLevel="0" collapsed="false"/>
    <row r="2808" customFormat="false" ht="15" hidden="false" customHeight="false" outlineLevel="0" collapsed="false"/>
    <row r="2809" customFormat="false" ht="15" hidden="false" customHeight="false" outlineLevel="0" collapsed="false"/>
    <row r="2810" customFormat="false" ht="15" hidden="false" customHeight="false" outlineLevel="0" collapsed="false"/>
    <row r="2811" customFormat="false" ht="15" hidden="false" customHeight="false" outlineLevel="0" collapsed="false"/>
    <row r="2812" customFormat="false" ht="15" hidden="false" customHeight="false" outlineLevel="0" collapsed="false"/>
    <row r="2813" customFormat="false" ht="15" hidden="false" customHeight="false" outlineLevel="0" collapsed="false"/>
    <row r="2814" customFormat="false" ht="15" hidden="false" customHeight="false" outlineLevel="0" collapsed="false"/>
    <row r="2815" customFormat="false" ht="15" hidden="false" customHeight="false" outlineLevel="0" collapsed="false"/>
    <row r="2816" customFormat="false" ht="15" hidden="false" customHeight="false" outlineLevel="0" collapsed="false"/>
    <row r="2817" customFormat="false" ht="15" hidden="false" customHeight="false" outlineLevel="0" collapsed="false"/>
    <row r="2818" customFormat="false" ht="15" hidden="false" customHeight="false" outlineLevel="0" collapsed="false"/>
    <row r="2819" customFormat="false" ht="15" hidden="false" customHeight="false" outlineLevel="0" collapsed="false"/>
    <row r="2820" customFormat="false" ht="15" hidden="false" customHeight="false" outlineLevel="0" collapsed="false"/>
    <row r="2821" customFormat="false" ht="15" hidden="false" customHeight="false" outlineLevel="0" collapsed="false"/>
    <row r="2822" customFormat="false" ht="15" hidden="false" customHeight="false" outlineLevel="0" collapsed="false"/>
    <row r="2823" customFormat="false" ht="15" hidden="false" customHeight="false" outlineLevel="0" collapsed="false"/>
    <row r="2824" customFormat="false" ht="15" hidden="false" customHeight="false" outlineLevel="0" collapsed="false"/>
    <row r="2825" customFormat="false" ht="15" hidden="false" customHeight="false" outlineLevel="0" collapsed="false"/>
    <row r="2826" customFormat="false" ht="15" hidden="false" customHeight="false" outlineLevel="0" collapsed="false"/>
    <row r="2827" customFormat="false" ht="15" hidden="false" customHeight="false" outlineLevel="0" collapsed="false"/>
    <row r="2828" customFormat="false" ht="15" hidden="false" customHeight="false" outlineLevel="0" collapsed="false"/>
    <row r="2829" customFormat="false" ht="15" hidden="false" customHeight="false" outlineLevel="0" collapsed="false"/>
    <row r="2830" customFormat="false" ht="15" hidden="false" customHeight="false" outlineLevel="0" collapsed="false"/>
    <row r="2831" customFormat="false" ht="15" hidden="false" customHeight="false" outlineLevel="0" collapsed="false"/>
    <row r="2832" customFormat="false" ht="15" hidden="false" customHeight="false" outlineLevel="0" collapsed="false"/>
    <row r="2833" customFormat="false" ht="15" hidden="false" customHeight="false" outlineLevel="0" collapsed="false"/>
    <row r="2834" customFormat="false" ht="15" hidden="false" customHeight="false" outlineLevel="0" collapsed="false"/>
    <row r="2835" customFormat="false" ht="15" hidden="false" customHeight="false" outlineLevel="0" collapsed="false"/>
    <row r="2836" customFormat="false" ht="15" hidden="false" customHeight="false" outlineLevel="0" collapsed="false"/>
    <row r="2837" customFormat="false" ht="15" hidden="false" customHeight="false" outlineLevel="0" collapsed="false"/>
    <row r="2838" customFormat="false" ht="15" hidden="false" customHeight="false" outlineLevel="0" collapsed="false"/>
    <row r="2839" customFormat="false" ht="15" hidden="false" customHeight="false" outlineLevel="0" collapsed="false"/>
    <row r="2840" customFormat="false" ht="15" hidden="false" customHeight="false" outlineLevel="0" collapsed="false"/>
    <row r="2841" customFormat="false" ht="15" hidden="false" customHeight="false" outlineLevel="0" collapsed="false"/>
    <row r="2842" customFormat="false" ht="15" hidden="false" customHeight="false" outlineLevel="0" collapsed="false"/>
    <row r="2843" customFormat="false" ht="15" hidden="false" customHeight="false" outlineLevel="0" collapsed="false"/>
    <row r="2844" customFormat="false" ht="15" hidden="false" customHeight="false" outlineLevel="0" collapsed="false"/>
    <row r="2845" customFormat="false" ht="15" hidden="false" customHeight="false" outlineLevel="0" collapsed="false"/>
    <row r="2846" customFormat="false" ht="15" hidden="false" customHeight="false" outlineLevel="0" collapsed="false"/>
    <row r="2847" customFormat="false" ht="15" hidden="false" customHeight="false" outlineLevel="0" collapsed="false"/>
    <row r="2848" customFormat="false" ht="15" hidden="false" customHeight="false" outlineLevel="0" collapsed="false"/>
    <row r="2849" customFormat="false" ht="15" hidden="false" customHeight="false" outlineLevel="0" collapsed="false"/>
    <row r="2850" customFormat="false" ht="15" hidden="false" customHeight="false" outlineLevel="0" collapsed="false"/>
    <row r="2851" customFormat="false" ht="15" hidden="false" customHeight="false" outlineLevel="0" collapsed="false"/>
    <row r="2852" customFormat="false" ht="15" hidden="false" customHeight="false" outlineLevel="0" collapsed="false"/>
    <row r="2853" customFormat="false" ht="15" hidden="false" customHeight="false" outlineLevel="0" collapsed="false"/>
    <row r="2854" customFormat="false" ht="15" hidden="false" customHeight="false" outlineLevel="0" collapsed="false"/>
    <row r="2855" customFormat="false" ht="15" hidden="false" customHeight="false" outlineLevel="0" collapsed="false"/>
    <row r="2856" customFormat="false" ht="15" hidden="false" customHeight="false" outlineLevel="0" collapsed="false"/>
    <row r="2857" customFormat="false" ht="15" hidden="false" customHeight="false" outlineLevel="0" collapsed="false"/>
    <row r="2858" customFormat="false" ht="15" hidden="false" customHeight="false" outlineLevel="0" collapsed="false"/>
    <row r="2859" customFormat="false" ht="15" hidden="false" customHeight="false" outlineLevel="0" collapsed="false"/>
    <row r="2860" customFormat="false" ht="15" hidden="false" customHeight="false" outlineLevel="0" collapsed="false"/>
    <row r="2861" customFormat="false" ht="15" hidden="false" customHeight="false" outlineLevel="0" collapsed="false"/>
    <row r="2862" customFormat="false" ht="15" hidden="false" customHeight="false" outlineLevel="0" collapsed="false"/>
    <row r="2863" customFormat="false" ht="15" hidden="false" customHeight="false" outlineLevel="0" collapsed="false"/>
    <row r="2864" customFormat="false" ht="15" hidden="false" customHeight="false" outlineLevel="0" collapsed="false"/>
    <row r="2865" customFormat="false" ht="15" hidden="false" customHeight="false" outlineLevel="0" collapsed="false"/>
    <row r="2866" customFormat="false" ht="15" hidden="false" customHeight="false" outlineLevel="0" collapsed="false"/>
    <row r="2867" customFormat="false" ht="15" hidden="false" customHeight="false" outlineLevel="0" collapsed="false"/>
    <row r="2868" customFormat="false" ht="15" hidden="false" customHeight="false" outlineLevel="0" collapsed="false"/>
    <row r="2869" customFormat="false" ht="15" hidden="false" customHeight="false" outlineLevel="0" collapsed="false"/>
    <row r="2870" customFormat="false" ht="15" hidden="false" customHeight="false" outlineLevel="0" collapsed="false"/>
    <row r="2871" customFormat="false" ht="15" hidden="false" customHeight="false" outlineLevel="0" collapsed="false"/>
    <row r="2872" customFormat="false" ht="15" hidden="false" customHeight="false" outlineLevel="0" collapsed="false"/>
    <row r="2873" customFormat="false" ht="15" hidden="false" customHeight="false" outlineLevel="0" collapsed="false"/>
    <row r="2874" customFormat="false" ht="15" hidden="false" customHeight="false" outlineLevel="0" collapsed="false"/>
    <row r="2875" customFormat="false" ht="15" hidden="false" customHeight="false" outlineLevel="0" collapsed="false"/>
    <row r="2876" customFormat="false" ht="15" hidden="false" customHeight="false" outlineLevel="0" collapsed="false"/>
    <row r="2877" customFormat="false" ht="15" hidden="false" customHeight="false" outlineLevel="0" collapsed="false"/>
    <row r="2878" customFormat="false" ht="15" hidden="false" customHeight="false" outlineLevel="0" collapsed="false"/>
    <row r="2879" customFormat="false" ht="15" hidden="false" customHeight="false" outlineLevel="0" collapsed="false"/>
    <row r="2880" customFormat="false" ht="15" hidden="false" customHeight="false" outlineLevel="0" collapsed="false"/>
    <row r="2881" customFormat="false" ht="15" hidden="false" customHeight="false" outlineLevel="0" collapsed="false"/>
    <row r="2882" customFormat="false" ht="15" hidden="false" customHeight="false" outlineLevel="0" collapsed="false"/>
    <row r="2883" customFormat="false" ht="15" hidden="false" customHeight="false" outlineLevel="0" collapsed="false"/>
    <row r="2884" customFormat="false" ht="15" hidden="false" customHeight="false" outlineLevel="0" collapsed="false"/>
    <row r="2885" customFormat="false" ht="15" hidden="false" customHeight="false" outlineLevel="0" collapsed="false"/>
    <row r="2886" customFormat="false" ht="15" hidden="false" customHeight="false" outlineLevel="0" collapsed="false"/>
    <row r="2887" customFormat="false" ht="15" hidden="false" customHeight="false" outlineLevel="0" collapsed="false"/>
    <row r="2888" customFormat="false" ht="15" hidden="false" customHeight="false" outlineLevel="0" collapsed="false"/>
    <row r="2889" customFormat="false" ht="15" hidden="false" customHeight="false" outlineLevel="0" collapsed="false"/>
    <row r="2890" customFormat="false" ht="15" hidden="false" customHeight="false" outlineLevel="0" collapsed="false"/>
    <row r="2891" customFormat="false" ht="15" hidden="false" customHeight="false" outlineLevel="0" collapsed="false"/>
    <row r="2892" customFormat="false" ht="15" hidden="false" customHeight="false" outlineLevel="0" collapsed="false"/>
    <row r="2893" customFormat="false" ht="15" hidden="false" customHeight="false" outlineLevel="0" collapsed="false"/>
    <row r="2894" customFormat="false" ht="15" hidden="false" customHeight="false" outlineLevel="0" collapsed="false"/>
    <row r="2895" customFormat="false" ht="15" hidden="false" customHeight="false" outlineLevel="0" collapsed="false"/>
    <row r="2896" customFormat="false" ht="15" hidden="false" customHeight="false" outlineLevel="0" collapsed="false"/>
    <row r="2897" customFormat="false" ht="15" hidden="false" customHeight="false" outlineLevel="0" collapsed="false"/>
    <row r="2898" customFormat="false" ht="15" hidden="false" customHeight="false" outlineLevel="0" collapsed="false"/>
    <row r="2899" customFormat="false" ht="15" hidden="false" customHeight="false" outlineLevel="0" collapsed="false"/>
    <row r="2900" customFormat="false" ht="15" hidden="false" customHeight="false" outlineLevel="0" collapsed="false"/>
    <row r="2901" customFormat="false" ht="15" hidden="false" customHeight="false" outlineLevel="0" collapsed="false"/>
    <row r="2902" customFormat="false" ht="15" hidden="false" customHeight="false" outlineLevel="0" collapsed="false"/>
    <row r="2903" customFormat="false" ht="15" hidden="false" customHeight="false" outlineLevel="0" collapsed="false"/>
    <row r="2904" customFormat="false" ht="15" hidden="false" customHeight="false" outlineLevel="0" collapsed="false"/>
    <row r="2905" customFormat="false" ht="15" hidden="false" customHeight="false" outlineLevel="0" collapsed="false"/>
    <row r="2906" customFormat="false" ht="15" hidden="false" customHeight="false" outlineLevel="0" collapsed="false"/>
    <row r="2907" customFormat="false" ht="15" hidden="false" customHeight="false" outlineLevel="0" collapsed="false"/>
    <row r="2908" customFormat="false" ht="15" hidden="false" customHeight="false" outlineLevel="0" collapsed="false"/>
    <row r="2909" customFormat="false" ht="15" hidden="false" customHeight="false" outlineLevel="0" collapsed="false"/>
    <row r="2910" customFormat="false" ht="15" hidden="false" customHeight="false" outlineLevel="0" collapsed="false"/>
    <row r="2911" customFormat="false" ht="15" hidden="false" customHeight="false" outlineLevel="0" collapsed="false"/>
    <row r="2912" customFormat="false" ht="15" hidden="false" customHeight="false" outlineLevel="0" collapsed="false"/>
    <row r="2913" customFormat="false" ht="15" hidden="false" customHeight="false" outlineLevel="0" collapsed="false"/>
    <row r="2914" customFormat="false" ht="15" hidden="false" customHeight="false" outlineLevel="0" collapsed="false"/>
    <row r="2915" customFormat="false" ht="15" hidden="false" customHeight="false" outlineLevel="0" collapsed="false"/>
    <row r="2916" customFormat="false" ht="15" hidden="false" customHeight="false" outlineLevel="0" collapsed="false"/>
    <row r="2917" customFormat="false" ht="15" hidden="false" customHeight="false" outlineLevel="0" collapsed="false"/>
    <row r="2918" customFormat="false" ht="15" hidden="false" customHeight="false" outlineLevel="0" collapsed="false"/>
    <row r="2919" customFormat="false" ht="15" hidden="false" customHeight="false" outlineLevel="0" collapsed="false"/>
    <row r="2920" customFormat="false" ht="15" hidden="false" customHeight="false" outlineLevel="0" collapsed="false"/>
    <row r="2921" customFormat="false" ht="15" hidden="false" customHeight="false" outlineLevel="0" collapsed="false"/>
    <row r="2922" customFormat="false" ht="15" hidden="false" customHeight="false" outlineLevel="0" collapsed="false"/>
    <row r="2923" customFormat="false" ht="15" hidden="false" customHeight="false" outlineLevel="0" collapsed="false"/>
    <row r="2924" customFormat="false" ht="15" hidden="false" customHeight="false" outlineLevel="0" collapsed="false"/>
    <row r="2925" customFormat="false" ht="15" hidden="false" customHeight="false" outlineLevel="0" collapsed="false"/>
    <row r="2926" customFormat="false" ht="15" hidden="false" customHeight="false" outlineLevel="0" collapsed="false"/>
    <row r="2927" customFormat="false" ht="15" hidden="false" customHeight="false" outlineLevel="0" collapsed="false"/>
    <row r="2928" customFormat="false" ht="15" hidden="false" customHeight="false" outlineLevel="0" collapsed="false"/>
    <row r="2929" customFormat="false" ht="15" hidden="false" customHeight="false" outlineLevel="0" collapsed="false"/>
    <row r="2930" customFormat="false" ht="15" hidden="false" customHeight="false" outlineLevel="0" collapsed="false"/>
    <row r="2931" customFormat="false" ht="15" hidden="false" customHeight="false" outlineLevel="0" collapsed="false"/>
    <row r="2932" customFormat="false" ht="15" hidden="false" customHeight="false" outlineLevel="0" collapsed="false"/>
    <row r="2933" customFormat="false" ht="15" hidden="false" customHeight="false" outlineLevel="0" collapsed="false"/>
    <row r="2934" customFormat="false" ht="15" hidden="false" customHeight="false" outlineLevel="0" collapsed="false"/>
    <row r="2935" customFormat="false" ht="15" hidden="false" customHeight="false" outlineLevel="0" collapsed="false"/>
    <row r="2936" customFormat="false" ht="15" hidden="false" customHeight="false" outlineLevel="0" collapsed="false"/>
    <row r="2937" customFormat="false" ht="15" hidden="false" customHeight="false" outlineLevel="0" collapsed="false"/>
    <row r="2938" customFormat="false" ht="15" hidden="false" customHeight="false" outlineLevel="0" collapsed="false"/>
    <row r="2939" customFormat="false" ht="15" hidden="false" customHeight="false" outlineLevel="0" collapsed="false"/>
    <row r="2940" customFormat="false" ht="15" hidden="false" customHeight="false" outlineLevel="0" collapsed="false"/>
    <row r="2941" customFormat="false" ht="15" hidden="false" customHeight="false" outlineLevel="0" collapsed="false"/>
    <row r="2942" customFormat="false" ht="15" hidden="false" customHeight="false" outlineLevel="0" collapsed="false"/>
    <row r="2943" customFormat="false" ht="15" hidden="false" customHeight="false" outlineLevel="0" collapsed="false"/>
    <row r="2944" customFormat="false" ht="15" hidden="false" customHeight="false" outlineLevel="0" collapsed="false"/>
    <row r="2945" customFormat="false" ht="15" hidden="false" customHeight="false" outlineLevel="0" collapsed="false"/>
    <row r="2946" customFormat="false" ht="15" hidden="false" customHeight="false" outlineLevel="0" collapsed="false"/>
    <row r="2947" customFormat="false" ht="15" hidden="false" customHeight="false" outlineLevel="0" collapsed="false"/>
    <row r="2948" customFormat="false" ht="15" hidden="false" customHeight="false" outlineLevel="0" collapsed="false"/>
    <row r="2949" customFormat="false" ht="15" hidden="false" customHeight="false" outlineLevel="0" collapsed="false"/>
    <row r="2950" customFormat="false" ht="15" hidden="false" customHeight="false" outlineLevel="0" collapsed="false"/>
    <row r="2951" customFormat="false" ht="15" hidden="false" customHeight="false" outlineLevel="0" collapsed="false"/>
    <row r="2952" customFormat="false" ht="15" hidden="false" customHeight="false" outlineLevel="0" collapsed="false"/>
    <row r="2953" customFormat="false" ht="15" hidden="false" customHeight="false" outlineLevel="0" collapsed="false"/>
    <row r="2954" customFormat="false" ht="15" hidden="false" customHeight="false" outlineLevel="0" collapsed="false"/>
    <row r="2955" customFormat="false" ht="15" hidden="false" customHeight="false" outlineLevel="0" collapsed="false"/>
    <row r="2956" customFormat="false" ht="15" hidden="false" customHeight="false" outlineLevel="0" collapsed="false"/>
    <row r="2957" customFormat="false" ht="15" hidden="false" customHeight="false" outlineLevel="0" collapsed="false"/>
    <row r="2958" customFormat="false" ht="15" hidden="false" customHeight="false" outlineLevel="0" collapsed="false"/>
    <row r="2959" customFormat="false" ht="15" hidden="false" customHeight="false" outlineLevel="0" collapsed="false"/>
    <row r="2960" customFormat="false" ht="15" hidden="false" customHeight="false" outlineLevel="0" collapsed="false"/>
    <row r="2961" customFormat="false" ht="15" hidden="false" customHeight="false" outlineLevel="0" collapsed="false"/>
    <row r="2962" customFormat="false" ht="15" hidden="false" customHeight="false" outlineLevel="0" collapsed="false"/>
    <row r="2963" customFormat="false" ht="15" hidden="false" customHeight="false" outlineLevel="0" collapsed="false"/>
    <row r="2964" customFormat="false" ht="15" hidden="false" customHeight="false" outlineLevel="0" collapsed="false"/>
    <row r="2965" customFormat="false" ht="15" hidden="false" customHeight="false" outlineLevel="0" collapsed="false"/>
    <row r="2966" customFormat="false" ht="15" hidden="false" customHeight="false" outlineLevel="0" collapsed="false"/>
    <row r="2967" customFormat="false" ht="15" hidden="false" customHeight="false" outlineLevel="0" collapsed="false"/>
    <row r="2968" customFormat="false" ht="15" hidden="false" customHeight="false" outlineLevel="0" collapsed="false"/>
    <row r="2969" customFormat="false" ht="15" hidden="false" customHeight="false" outlineLevel="0" collapsed="false"/>
    <row r="2970" customFormat="false" ht="15" hidden="false" customHeight="false" outlineLevel="0" collapsed="false"/>
    <row r="2971" customFormat="false" ht="15" hidden="false" customHeight="false" outlineLevel="0" collapsed="false"/>
    <row r="2972" customFormat="false" ht="15" hidden="false" customHeight="false" outlineLevel="0" collapsed="false"/>
    <row r="2973" customFormat="false" ht="15" hidden="false" customHeight="false" outlineLevel="0" collapsed="false"/>
    <row r="2974" customFormat="false" ht="15" hidden="false" customHeight="false" outlineLevel="0" collapsed="false"/>
    <row r="2975" customFormat="false" ht="15" hidden="false" customHeight="false" outlineLevel="0" collapsed="false"/>
    <row r="2976" customFormat="false" ht="15" hidden="false" customHeight="false" outlineLevel="0" collapsed="false"/>
    <row r="2977" customFormat="false" ht="15" hidden="false" customHeight="false" outlineLevel="0" collapsed="false"/>
    <row r="2978" customFormat="false" ht="15" hidden="false" customHeight="false" outlineLevel="0" collapsed="false"/>
    <row r="2979" customFormat="false" ht="15" hidden="false" customHeight="false" outlineLevel="0" collapsed="false"/>
    <row r="2980" customFormat="false" ht="15" hidden="false" customHeight="false" outlineLevel="0" collapsed="false"/>
    <row r="2981" customFormat="false" ht="15" hidden="false" customHeight="false" outlineLevel="0" collapsed="false"/>
    <row r="2982" customFormat="false" ht="15" hidden="false" customHeight="false" outlineLevel="0" collapsed="false"/>
    <row r="2983" customFormat="false" ht="15" hidden="false" customHeight="false" outlineLevel="0" collapsed="false"/>
    <row r="2984" customFormat="false" ht="15" hidden="false" customHeight="false" outlineLevel="0" collapsed="false"/>
    <row r="2985" customFormat="false" ht="15" hidden="false" customHeight="false" outlineLevel="0" collapsed="false"/>
    <row r="2986" customFormat="false" ht="15" hidden="false" customHeight="false" outlineLevel="0" collapsed="false"/>
    <row r="2987" customFormat="false" ht="15" hidden="false" customHeight="false" outlineLevel="0" collapsed="false"/>
    <row r="2988" customFormat="false" ht="15" hidden="false" customHeight="false" outlineLevel="0" collapsed="false"/>
    <row r="2989" customFormat="false" ht="15" hidden="false" customHeight="false" outlineLevel="0" collapsed="false"/>
    <row r="2990" customFormat="false" ht="15" hidden="false" customHeight="false" outlineLevel="0" collapsed="false"/>
    <row r="2991" customFormat="false" ht="15" hidden="false" customHeight="false" outlineLevel="0" collapsed="false"/>
    <row r="2992" customFormat="false" ht="15" hidden="false" customHeight="false" outlineLevel="0" collapsed="false"/>
    <row r="2993" customFormat="false" ht="15" hidden="false" customHeight="false" outlineLevel="0" collapsed="false"/>
    <row r="2994" customFormat="false" ht="15" hidden="false" customHeight="false" outlineLevel="0" collapsed="false"/>
    <row r="2995" customFormat="false" ht="15" hidden="false" customHeight="false" outlineLevel="0" collapsed="false"/>
    <row r="2996" customFormat="false" ht="15" hidden="false" customHeight="false" outlineLevel="0" collapsed="false"/>
    <row r="2997" customFormat="false" ht="15" hidden="false" customHeight="false" outlineLevel="0" collapsed="false"/>
    <row r="2998" customFormat="false" ht="15" hidden="false" customHeight="false" outlineLevel="0" collapsed="false"/>
    <row r="2999" customFormat="false" ht="15" hidden="false" customHeight="false" outlineLevel="0" collapsed="false"/>
    <row r="3000" customFormat="false" ht="15" hidden="false" customHeight="false" outlineLevel="0" collapsed="false"/>
    <row r="3001" customFormat="false" ht="15" hidden="false" customHeight="false" outlineLevel="0" collapsed="false"/>
    <row r="3002" customFormat="false" ht="15" hidden="false" customHeight="false" outlineLevel="0" collapsed="false"/>
    <row r="3003" customFormat="false" ht="15" hidden="false" customHeight="false" outlineLevel="0" collapsed="false"/>
    <row r="3004" customFormat="false" ht="15" hidden="false" customHeight="false" outlineLevel="0" collapsed="false"/>
    <row r="3005" customFormat="false" ht="15" hidden="false" customHeight="false" outlineLevel="0" collapsed="false"/>
    <row r="3006" customFormat="false" ht="15" hidden="false" customHeight="false" outlineLevel="0" collapsed="false"/>
    <row r="3007" customFormat="false" ht="15" hidden="false" customHeight="false" outlineLevel="0" collapsed="false"/>
    <row r="3008" customFormat="false" ht="15" hidden="false" customHeight="false" outlineLevel="0" collapsed="false"/>
    <row r="3009" customFormat="false" ht="15" hidden="false" customHeight="false" outlineLevel="0" collapsed="false"/>
    <row r="3010" customFormat="false" ht="15" hidden="false" customHeight="false" outlineLevel="0" collapsed="false"/>
    <row r="3011" customFormat="false" ht="15" hidden="false" customHeight="false" outlineLevel="0" collapsed="false"/>
    <row r="3012" customFormat="false" ht="15" hidden="false" customHeight="false" outlineLevel="0" collapsed="false"/>
    <row r="3013" customFormat="false" ht="15" hidden="false" customHeight="false" outlineLevel="0" collapsed="false"/>
    <row r="3014" customFormat="false" ht="15" hidden="false" customHeight="false" outlineLevel="0" collapsed="false"/>
    <row r="3015" customFormat="false" ht="15" hidden="false" customHeight="false" outlineLevel="0" collapsed="false"/>
    <row r="3016" customFormat="false" ht="15" hidden="false" customHeight="false" outlineLevel="0" collapsed="false"/>
    <row r="3017" customFormat="false" ht="15" hidden="false" customHeight="false" outlineLevel="0" collapsed="false"/>
    <row r="3018" customFormat="false" ht="15" hidden="false" customHeight="false" outlineLevel="0" collapsed="false"/>
    <row r="3019" customFormat="false" ht="15" hidden="false" customHeight="false" outlineLevel="0" collapsed="false"/>
    <row r="3020" customFormat="false" ht="15" hidden="false" customHeight="false" outlineLevel="0" collapsed="false"/>
    <row r="3021" customFormat="false" ht="15" hidden="false" customHeight="false" outlineLevel="0" collapsed="false"/>
    <row r="3022" customFormat="false" ht="15" hidden="false" customHeight="false" outlineLevel="0" collapsed="false"/>
    <row r="3023" customFormat="false" ht="15" hidden="false" customHeight="false" outlineLevel="0" collapsed="false"/>
    <row r="3024" customFormat="false" ht="15" hidden="false" customHeight="false" outlineLevel="0" collapsed="false"/>
    <row r="3025" customFormat="false" ht="15" hidden="false" customHeight="false" outlineLevel="0" collapsed="false"/>
    <row r="3026" customFormat="false" ht="15" hidden="false" customHeight="false" outlineLevel="0" collapsed="false"/>
    <row r="3027" customFormat="false" ht="15" hidden="false" customHeight="false" outlineLevel="0" collapsed="false"/>
    <row r="3028" customFormat="false" ht="15" hidden="false" customHeight="false" outlineLevel="0" collapsed="false"/>
    <row r="3029" customFormat="false" ht="15" hidden="false" customHeight="false" outlineLevel="0" collapsed="false"/>
    <row r="3030" customFormat="false" ht="15" hidden="false" customHeight="false" outlineLevel="0" collapsed="false"/>
    <row r="3031" customFormat="false" ht="15" hidden="false" customHeight="false" outlineLevel="0" collapsed="false"/>
    <row r="3032" customFormat="false" ht="15" hidden="false" customHeight="false" outlineLevel="0" collapsed="false"/>
    <row r="3033" customFormat="false" ht="15" hidden="false" customHeight="false" outlineLevel="0" collapsed="false"/>
    <row r="3034" customFormat="false" ht="15" hidden="false" customHeight="false" outlineLevel="0" collapsed="false"/>
    <row r="3035" customFormat="false" ht="15" hidden="false" customHeight="false" outlineLevel="0" collapsed="false"/>
    <row r="3036" customFormat="false" ht="15" hidden="false" customHeight="false" outlineLevel="0" collapsed="false"/>
    <row r="3037" customFormat="false" ht="15" hidden="false" customHeight="false" outlineLevel="0" collapsed="false"/>
    <row r="3038" customFormat="false" ht="15" hidden="false" customHeight="false" outlineLevel="0" collapsed="false"/>
    <row r="3039" customFormat="false" ht="15" hidden="false" customHeight="false" outlineLevel="0" collapsed="false"/>
    <row r="3040" customFormat="false" ht="15" hidden="false" customHeight="false" outlineLevel="0" collapsed="false"/>
    <row r="3041" customFormat="false" ht="15" hidden="false" customHeight="false" outlineLevel="0" collapsed="false"/>
    <row r="3042" customFormat="false" ht="15" hidden="false" customHeight="false" outlineLevel="0" collapsed="false"/>
    <row r="3043" customFormat="false" ht="15" hidden="false" customHeight="false" outlineLevel="0" collapsed="false"/>
    <row r="3044" customFormat="false" ht="15" hidden="false" customHeight="false" outlineLevel="0" collapsed="false"/>
    <row r="3045" customFormat="false" ht="15" hidden="false" customHeight="false" outlineLevel="0" collapsed="false"/>
    <row r="3046" customFormat="false" ht="15" hidden="false" customHeight="false" outlineLevel="0" collapsed="false"/>
    <row r="3047" customFormat="false" ht="15" hidden="false" customHeight="false" outlineLevel="0" collapsed="false"/>
    <row r="3048" customFormat="false" ht="15" hidden="false" customHeight="false" outlineLevel="0" collapsed="false"/>
    <row r="3049" customFormat="false" ht="15" hidden="false" customHeight="false" outlineLevel="0" collapsed="false"/>
    <row r="3050" customFormat="false" ht="15" hidden="false" customHeight="false" outlineLevel="0" collapsed="false"/>
    <row r="3051" customFormat="false" ht="15" hidden="false" customHeight="false" outlineLevel="0" collapsed="false"/>
    <row r="3052" customFormat="false" ht="15" hidden="false" customHeight="false" outlineLevel="0" collapsed="false"/>
    <row r="3053" customFormat="false" ht="15" hidden="false" customHeight="false" outlineLevel="0" collapsed="false"/>
    <row r="3054" customFormat="false" ht="15" hidden="false" customHeight="false" outlineLevel="0" collapsed="false"/>
    <row r="3055" customFormat="false" ht="15" hidden="false" customHeight="false" outlineLevel="0" collapsed="false"/>
    <row r="3056" customFormat="false" ht="15" hidden="false" customHeight="false" outlineLevel="0" collapsed="false"/>
    <row r="3057" customFormat="false" ht="15" hidden="false" customHeight="false" outlineLevel="0" collapsed="false"/>
    <row r="3058" customFormat="false" ht="15" hidden="false" customHeight="false" outlineLevel="0" collapsed="false"/>
    <row r="3059" customFormat="false" ht="15" hidden="false" customHeight="false" outlineLevel="0" collapsed="false"/>
    <row r="3060" customFormat="false" ht="15" hidden="false" customHeight="false" outlineLevel="0" collapsed="false"/>
    <row r="3061" customFormat="false" ht="15" hidden="false" customHeight="false" outlineLevel="0" collapsed="false"/>
    <row r="3062" customFormat="false" ht="15" hidden="false" customHeight="false" outlineLevel="0" collapsed="false"/>
    <row r="3063" customFormat="false" ht="15" hidden="false" customHeight="false" outlineLevel="0" collapsed="false"/>
    <row r="3064" customFormat="false" ht="15" hidden="false" customHeight="false" outlineLevel="0" collapsed="false"/>
    <row r="3065" customFormat="false" ht="15" hidden="false" customHeight="false" outlineLevel="0" collapsed="false"/>
    <row r="3066" customFormat="false" ht="15" hidden="false" customHeight="false" outlineLevel="0" collapsed="false"/>
    <row r="3067" customFormat="false" ht="15" hidden="false" customHeight="false" outlineLevel="0" collapsed="false"/>
    <row r="3068" customFormat="false" ht="15" hidden="false" customHeight="false" outlineLevel="0" collapsed="false"/>
    <row r="3069" customFormat="false" ht="15" hidden="false" customHeight="false" outlineLevel="0" collapsed="false"/>
    <row r="3070" customFormat="false" ht="15" hidden="false" customHeight="false" outlineLevel="0" collapsed="false"/>
    <row r="3071" customFormat="false" ht="15" hidden="false" customHeight="false" outlineLevel="0" collapsed="false"/>
    <row r="3072" customFormat="false" ht="15" hidden="false" customHeight="false" outlineLevel="0" collapsed="false"/>
    <row r="3073" customFormat="false" ht="15" hidden="false" customHeight="false" outlineLevel="0" collapsed="false"/>
    <row r="3074" customFormat="false" ht="15" hidden="false" customHeight="false" outlineLevel="0" collapsed="false"/>
    <row r="3075" customFormat="false" ht="15" hidden="false" customHeight="false" outlineLevel="0" collapsed="false"/>
    <row r="3076" customFormat="false" ht="15" hidden="false" customHeight="false" outlineLevel="0" collapsed="false"/>
    <row r="3077" customFormat="false" ht="15" hidden="false" customHeight="false" outlineLevel="0" collapsed="false"/>
    <row r="3078" customFormat="false" ht="15" hidden="false" customHeight="false" outlineLevel="0" collapsed="false"/>
    <row r="3079" customFormat="false" ht="15" hidden="false" customHeight="false" outlineLevel="0" collapsed="false"/>
    <row r="3080" customFormat="false" ht="15" hidden="false" customHeight="false" outlineLevel="0" collapsed="false"/>
    <row r="3081" customFormat="false" ht="15" hidden="false" customHeight="false" outlineLevel="0" collapsed="false"/>
    <row r="3082" customFormat="false" ht="15" hidden="false" customHeight="false" outlineLevel="0" collapsed="false"/>
    <row r="3083" customFormat="false" ht="15" hidden="false" customHeight="false" outlineLevel="0" collapsed="false"/>
    <row r="3084" customFormat="false" ht="15" hidden="false" customHeight="false" outlineLevel="0" collapsed="false"/>
    <row r="3085" customFormat="false" ht="15" hidden="false" customHeight="false" outlineLevel="0" collapsed="false"/>
    <row r="3086" customFormat="false" ht="15" hidden="false" customHeight="false" outlineLevel="0" collapsed="false"/>
    <row r="3087" customFormat="false" ht="15" hidden="false" customHeight="false" outlineLevel="0" collapsed="false"/>
    <row r="3088" customFormat="false" ht="15" hidden="false" customHeight="false" outlineLevel="0" collapsed="false"/>
    <row r="3089" customFormat="false" ht="15" hidden="false" customHeight="false" outlineLevel="0" collapsed="false"/>
    <row r="3090" customFormat="false" ht="15" hidden="false" customHeight="false" outlineLevel="0" collapsed="false"/>
    <row r="3091" customFormat="false" ht="15" hidden="false" customHeight="false" outlineLevel="0" collapsed="false"/>
    <row r="3092" customFormat="false" ht="15" hidden="false" customHeight="false" outlineLevel="0" collapsed="false"/>
    <row r="3093" customFormat="false" ht="15" hidden="false" customHeight="false" outlineLevel="0" collapsed="false"/>
    <row r="3094" customFormat="false" ht="15" hidden="false" customHeight="false" outlineLevel="0" collapsed="false"/>
    <row r="3095" customFormat="false" ht="15" hidden="false" customHeight="false" outlineLevel="0" collapsed="false"/>
    <row r="3096" customFormat="false" ht="15" hidden="false" customHeight="false" outlineLevel="0" collapsed="false"/>
    <row r="3097" customFormat="false" ht="15" hidden="false" customHeight="false" outlineLevel="0" collapsed="false"/>
    <row r="3098" customFormat="false" ht="15" hidden="false" customHeight="false" outlineLevel="0" collapsed="false"/>
    <row r="3099" customFormat="false" ht="15" hidden="false" customHeight="false" outlineLevel="0" collapsed="false"/>
    <row r="3100" customFormat="false" ht="15" hidden="false" customHeight="false" outlineLevel="0" collapsed="false"/>
    <row r="3101" customFormat="false" ht="15" hidden="false" customHeight="false" outlineLevel="0" collapsed="false"/>
    <row r="3102" customFormat="false" ht="15" hidden="false" customHeight="false" outlineLevel="0" collapsed="false"/>
    <row r="3103" customFormat="false" ht="15" hidden="false" customHeight="false" outlineLevel="0" collapsed="false"/>
    <row r="3104" customFormat="false" ht="15" hidden="false" customHeight="false" outlineLevel="0" collapsed="false"/>
    <row r="3105" customFormat="false" ht="15" hidden="false" customHeight="false" outlineLevel="0" collapsed="false"/>
    <row r="3106" customFormat="false" ht="15" hidden="false" customHeight="false" outlineLevel="0" collapsed="false"/>
    <row r="3107" customFormat="false" ht="15" hidden="false" customHeight="false" outlineLevel="0" collapsed="false"/>
    <row r="3108" customFormat="false" ht="15" hidden="false" customHeight="false" outlineLevel="0" collapsed="false"/>
    <row r="3109" customFormat="false" ht="15" hidden="false" customHeight="false" outlineLevel="0" collapsed="false"/>
    <row r="3110" customFormat="false" ht="15" hidden="false" customHeight="false" outlineLevel="0" collapsed="false"/>
    <row r="3111" customFormat="false" ht="15" hidden="false" customHeight="false" outlineLevel="0" collapsed="false"/>
    <row r="3112" customFormat="false" ht="15" hidden="false" customHeight="false" outlineLevel="0" collapsed="false"/>
    <row r="3113" customFormat="false" ht="15" hidden="false" customHeight="false" outlineLevel="0" collapsed="false"/>
    <row r="3114" customFormat="false" ht="15" hidden="false" customHeight="false" outlineLevel="0" collapsed="false"/>
    <row r="3115" customFormat="false" ht="15" hidden="false" customHeight="false" outlineLevel="0" collapsed="false"/>
    <row r="3116" customFormat="false" ht="15" hidden="false" customHeight="false" outlineLevel="0" collapsed="false"/>
    <row r="3117" customFormat="false" ht="15" hidden="false" customHeight="false" outlineLevel="0" collapsed="false"/>
    <row r="3118" customFormat="false" ht="15" hidden="false" customHeight="false" outlineLevel="0" collapsed="false"/>
    <row r="3119" customFormat="false" ht="15" hidden="false" customHeight="false" outlineLevel="0" collapsed="false"/>
    <row r="3120" customFormat="false" ht="15" hidden="false" customHeight="false" outlineLevel="0" collapsed="false"/>
    <row r="3121" customFormat="false" ht="15" hidden="false" customHeight="false" outlineLevel="0" collapsed="false"/>
    <row r="3122" customFormat="false" ht="15" hidden="false" customHeight="false" outlineLevel="0" collapsed="false"/>
    <row r="3123" customFormat="false" ht="15" hidden="false" customHeight="false" outlineLevel="0" collapsed="false"/>
    <row r="3124" customFormat="false" ht="15" hidden="false" customHeight="false" outlineLevel="0" collapsed="false"/>
    <row r="3125" customFormat="false" ht="15" hidden="false" customHeight="false" outlineLevel="0" collapsed="false"/>
    <row r="3126" customFormat="false" ht="15" hidden="false" customHeight="false" outlineLevel="0" collapsed="false"/>
    <row r="3127" customFormat="false" ht="15" hidden="false" customHeight="false" outlineLevel="0" collapsed="false"/>
    <row r="3128" customFormat="false" ht="15" hidden="false" customHeight="false" outlineLevel="0" collapsed="false"/>
    <row r="3129" customFormat="false" ht="15" hidden="false" customHeight="false" outlineLevel="0" collapsed="false"/>
    <row r="3130" customFormat="false" ht="15" hidden="false" customHeight="false" outlineLevel="0" collapsed="false"/>
    <row r="3131" customFormat="false" ht="15" hidden="false" customHeight="false" outlineLevel="0" collapsed="false"/>
    <row r="3132" customFormat="false" ht="15" hidden="false" customHeight="false" outlineLevel="0" collapsed="false"/>
    <row r="3133" customFormat="false" ht="15" hidden="false" customHeight="false" outlineLevel="0" collapsed="false"/>
    <row r="3134" customFormat="false" ht="15" hidden="false" customHeight="false" outlineLevel="0" collapsed="false"/>
    <row r="3135" customFormat="false" ht="15" hidden="false" customHeight="false" outlineLevel="0" collapsed="false"/>
    <row r="3136" customFormat="false" ht="15" hidden="false" customHeight="false" outlineLevel="0" collapsed="false"/>
    <row r="3137" customFormat="false" ht="15" hidden="false" customHeight="false" outlineLevel="0" collapsed="false"/>
    <row r="3138" customFormat="false" ht="15" hidden="false" customHeight="false" outlineLevel="0" collapsed="false"/>
    <row r="3139" customFormat="false" ht="15" hidden="false" customHeight="false" outlineLevel="0" collapsed="false"/>
    <row r="3140" customFormat="false" ht="15" hidden="false" customHeight="false" outlineLevel="0" collapsed="false"/>
    <row r="3141" customFormat="false" ht="15" hidden="false" customHeight="false" outlineLevel="0" collapsed="false"/>
    <row r="3142" customFormat="false" ht="15" hidden="false" customHeight="false" outlineLevel="0" collapsed="false"/>
    <row r="3143" customFormat="false" ht="15" hidden="false" customHeight="false" outlineLevel="0" collapsed="false"/>
    <row r="3144" customFormat="false" ht="15" hidden="false" customHeight="false" outlineLevel="0" collapsed="false"/>
    <row r="3145" customFormat="false" ht="15" hidden="false" customHeight="false" outlineLevel="0" collapsed="false"/>
    <row r="3146" customFormat="false" ht="15" hidden="false" customHeight="false" outlineLevel="0" collapsed="false"/>
    <row r="3147" customFormat="false" ht="15" hidden="false" customHeight="false" outlineLevel="0" collapsed="false"/>
    <row r="3148" customFormat="false" ht="15" hidden="false" customHeight="false" outlineLevel="0" collapsed="false"/>
    <row r="3149" customFormat="false" ht="15" hidden="false" customHeight="false" outlineLevel="0" collapsed="false"/>
    <row r="3150" customFormat="false" ht="15" hidden="false" customHeight="false" outlineLevel="0" collapsed="false"/>
    <row r="3151" customFormat="false" ht="15" hidden="false" customHeight="false" outlineLevel="0" collapsed="false"/>
    <row r="3152" customFormat="false" ht="15" hidden="false" customHeight="false" outlineLevel="0" collapsed="false"/>
    <row r="3153" customFormat="false" ht="15" hidden="false" customHeight="false" outlineLevel="0" collapsed="false"/>
    <row r="3154" customFormat="false" ht="15" hidden="false" customHeight="false" outlineLevel="0" collapsed="false"/>
    <row r="3155" customFormat="false" ht="15" hidden="false" customHeight="false" outlineLevel="0" collapsed="false"/>
    <row r="3156" customFormat="false" ht="15" hidden="false" customHeight="false" outlineLevel="0" collapsed="false"/>
    <row r="3157" customFormat="false" ht="15" hidden="false" customHeight="false" outlineLevel="0" collapsed="false"/>
    <row r="3158" customFormat="false" ht="15" hidden="false" customHeight="false" outlineLevel="0" collapsed="false"/>
    <row r="3159" customFormat="false" ht="15" hidden="false" customHeight="false" outlineLevel="0" collapsed="false"/>
    <row r="3160" customFormat="false" ht="15" hidden="false" customHeight="false" outlineLevel="0" collapsed="false"/>
    <row r="3161" customFormat="false" ht="15" hidden="false" customHeight="false" outlineLevel="0" collapsed="false"/>
    <row r="3162" customFormat="false" ht="15" hidden="false" customHeight="false" outlineLevel="0" collapsed="false"/>
    <row r="3163" customFormat="false" ht="15" hidden="false" customHeight="false" outlineLevel="0" collapsed="false"/>
    <row r="3164" customFormat="false" ht="15" hidden="false" customHeight="false" outlineLevel="0" collapsed="false"/>
    <row r="3165" customFormat="false" ht="15" hidden="false" customHeight="false" outlineLevel="0" collapsed="false"/>
    <row r="3166" customFormat="false" ht="15" hidden="false" customHeight="false" outlineLevel="0" collapsed="false"/>
    <row r="3167" customFormat="false" ht="15" hidden="false" customHeight="false" outlineLevel="0" collapsed="false"/>
    <row r="3168" customFormat="false" ht="15" hidden="false" customHeight="false" outlineLevel="0" collapsed="false"/>
    <row r="3169" customFormat="false" ht="15" hidden="false" customHeight="false" outlineLevel="0" collapsed="false"/>
    <row r="3170" customFormat="false" ht="15" hidden="false" customHeight="false" outlineLevel="0" collapsed="false"/>
    <row r="3171" customFormat="false" ht="15" hidden="false" customHeight="false" outlineLevel="0" collapsed="false"/>
    <row r="3172" customFormat="false" ht="15" hidden="false" customHeight="false" outlineLevel="0" collapsed="false"/>
    <row r="3173" customFormat="false" ht="15" hidden="false" customHeight="false" outlineLevel="0" collapsed="false"/>
    <row r="3174" customFormat="false" ht="15" hidden="false" customHeight="false" outlineLevel="0" collapsed="false"/>
    <row r="3175" customFormat="false" ht="15" hidden="false" customHeight="false" outlineLevel="0" collapsed="false"/>
    <row r="3176" customFormat="false" ht="15" hidden="false" customHeight="false" outlineLevel="0" collapsed="false"/>
    <row r="3177" customFormat="false" ht="15" hidden="false" customHeight="false" outlineLevel="0" collapsed="false"/>
    <row r="3178" customFormat="false" ht="15" hidden="false" customHeight="false" outlineLevel="0" collapsed="false"/>
    <row r="3179" customFormat="false" ht="15" hidden="false" customHeight="false" outlineLevel="0" collapsed="false"/>
    <row r="3180" customFormat="false" ht="15" hidden="false" customHeight="false" outlineLevel="0" collapsed="false"/>
    <row r="3181" customFormat="false" ht="15" hidden="false" customHeight="false" outlineLevel="0" collapsed="false"/>
    <row r="3182" customFormat="false" ht="15" hidden="false" customHeight="false" outlineLevel="0" collapsed="false"/>
    <row r="3183" customFormat="false" ht="15" hidden="false" customHeight="false" outlineLevel="0" collapsed="false"/>
    <row r="3184" customFormat="false" ht="15" hidden="false" customHeight="false" outlineLevel="0" collapsed="false"/>
    <row r="3185" customFormat="false" ht="15" hidden="false" customHeight="false" outlineLevel="0" collapsed="false"/>
    <row r="3186" customFormat="false" ht="15" hidden="false" customHeight="false" outlineLevel="0" collapsed="false"/>
    <row r="3187" customFormat="false" ht="15" hidden="false" customHeight="false" outlineLevel="0" collapsed="false"/>
    <row r="3188" customFormat="false" ht="15" hidden="false" customHeight="false" outlineLevel="0" collapsed="false"/>
    <row r="3189" customFormat="false" ht="15" hidden="false" customHeight="false" outlineLevel="0" collapsed="false"/>
    <row r="3190" customFormat="false" ht="15" hidden="false" customHeight="false" outlineLevel="0" collapsed="false"/>
    <row r="3191" customFormat="false" ht="15" hidden="false" customHeight="false" outlineLevel="0" collapsed="false"/>
    <row r="3192" customFormat="false" ht="15" hidden="false" customHeight="false" outlineLevel="0" collapsed="false"/>
    <row r="3193" customFormat="false" ht="15" hidden="false" customHeight="false" outlineLevel="0" collapsed="false"/>
    <row r="3194" customFormat="false" ht="15" hidden="false" customHeight="false" outlineLevel="0" collapsed="false"/>
    <row r="3195" customFormat="false" ht="15" hidden="false" customHeight="false" outlineLevel="0" collapsed="false"/>
    <row r="3196" customFormat="false" ht="15" hidden="false" customHeight="false" outlineLevel="0" collapsed="false"/>
    <row r="3197" customFormat="false" ht="15" hidden="false" customHeight="false" outlineLevel="0" collapsed="false"/>
    <row r="3198" customFormat="false" ht="15" hidden="false" customHeight="false" outlineLevel="0" collapsed="false"/>
    <row r="3199" customFormat="false" ht="15" hidden="false" customHeight="false" outlineLevel="0" collapsed="false"/>
    <row r="3200" customFormat="false" ht="15" hidden="false" customHeight="false" outlineLevel="0" collapsed="false"/>
    <row r="3201" customFormat="false" ht="15" hidden="false" customHeight="false" outlineLevel="0" collapsed="false"/>
    <row r="3202" customFormat="false" ht="15" hidden="false" customHeight="false" outlineLevel="0" collapsed="false"/>
    <row r="3203" customFormat="false" ht="15" hidden="false" customHeight="false" outlineLevel="0" collapsed="false"/>
    <row r="3204" customFormat="false" ht="15" hidden="false" customHeight="false" outlineLevel="0" collapsed="false"/>
    <row r="3205" customFormat="false" ht="15" hidden="false" customHeight="false" outlineLevel="0" collapsed="false"/>
    <row r="3206" customFormat="false" ht="15" hidden="false" customHeight="false" outlineLevel="0" collapsed="false"/>
    <row r="3207" customFormat="false" ht="15" hidden="false" customHeight="false" outlineLevel="0" collapsed="false"/>
    <row r="3208" customFormat="false" ht="15" hidden="false" customHeight="false" outlineLevel="0" collapsed="false"/>
    <row r="3209" customFormat="false" ht="15" hidden="false" customHeight="false" outlineLevel="0" collapsed="false"/>
    <row r="3210" customFormat="false" ht="15" hidden="false" customHeight="false" outlineLevel="0" collapsed="false"/>
    <row r="3211" customFormat="false" ht="15" hidden="false" customHeight="false" outlineLevel="0" collapsed="false"/>
    <row r="3212" customFormat="false" ht="15" hidden="false" customHeight="false" outlineLevel="0" collapsed="false"/>
    <row r="3213" customFormat="false" ht="15" hidden="false" customHeight="false" outlineLevel="0" collapsed="false"/>
    <row r="3214" customFormat="false" ht="15" hidden="false" customHeight="false" outlineLevel="0" collapsed="false"/>
    <row r="3215" customFormat="false" ht="15" hidden="false" customHeight="false" outlineLevel="0" collapsed="false"/>
    <row r="3216" customFormat="false" ht="15" hidden="false" customHeight="false" outlineLevel="0" collapsed="false"/>
    <row r="3217" customFormat="false" ht="15" hidden="false" customHeight="false" outlineLevel="0" collapsed="false"/>
    <row r="3218" customFormat="false" ht="15" hidden="false" customHeight="false" outlineLevel="0" collapsed="false"/>
    <row r="3219" customFormat="false" ht="15" hidden="false" customHeight="false" outlineLevel="0" collapsed="false"/>
    <row r="3220" customFormat="false" ht="15" hidden="false" customHeight="false" outlineLevel="0" collapsed="false"/>
    <row r="3221" customFormat="false" ht="15" hidden="false" customHeight="false" outlineLevel="0" collapsed="false"/>
    <row r="3222" customFormat="false" ht="15" hidden="false" customHeight="false" outlineLevel="0" collapsed="false"/>
    <row r="3223" customFormat="false" ht="15" hidden="false" customHeight="false" outlineLevel="0" collapsed="false"/>
    <row r="3224" customFormat="false" ht="15" hidden="false" customHeight="false" outlineLevel="0" collapsed="false"/>
    <row r="3225" customFormat="false" ht="15" hidden="false" customHeight="false" outlineLevel="0" collapsed="false"/>
    <row r="3226" customFormat="false" ht="15" hidden="false" customHeight="false" outlineLevel="0" collapsed="false"/>
    <row r="3227" customFormat="false" ht="15" hidden="false" customHeight="false" outlineLevel="0" collapsed="false"/>
    <row r="3228" customFormat="false" ht="15" hidden="false" customHeight="false" outlineLevel="0" collapsed="false"/>
    <row r="3229" customFormat="false" ht="15" hidden="false" customHeight="false" outlineLevel="0" collapsed="false"/>
    <row r="3230" customFormat="false" ht="15" hidden="false" customHeight="false" outlineLevel="0" collapsed="false"/>
    <row r="3231" customFormat="false" ht="15" hidden="false" customHeight="false" outlineLevel="0" collapsed="false"/>
    <row r="3232" customFormat="false" ht="15" hidden="false" customHeight="false" outlineLevel="0" collapsed="false"/>
    <row r="3233" customFormat="false" ht="15" hidden="false" customHeight="false" outlineLevel="0" collapsed="false"/>
    <row r="3234" customFormat="false" ht="15" hidden="false" customHeight="false" outlineLevel="0" collapsed="false"/>
    <row r="3235" customFormat="false" ht="15" hidden="false" customHeight="false" outlineLevel="0" collapsed="false"/>
    <row r="3236" customFormat="false" ht="15" hidden="false" customHeight="false" outlineLevel="0" collapsed="false"/>
    <row r="3237" customFormat="false" ht="15" hidden="false" customHeight="false" outlineLevel="0" collapsed="false"/>
    <row r="3238" customFormat="false" ht="15" hidden="false" customHeight="false" outlineLevel="0" collapsed="false"/>
    <row r="3239" customFormat="false" ht="15" hidden="false" customHeight="false" outlineLevel="0" collapsed="false"/>
    <row r="3240" customFormat="false" ht="15" hidden="false" customHeight="false" outlineLevel="0" collapsed="false"/>
    <row r="3241" customFormat="false" ht="15" hidden="false" customHeight="false" outlineLevel="0" collapsed="false"/>
    <row r="3242" customFormat="false" ht="15" hidden="false" customHeight="false" outlineLevel="0" collapsed="false"/>
    <row r="3243" customFormat="false" ht="15" hidden="false" customHeight="false" outlineLevel="0" collapsed="false"/>
    <row r="3244" customFormat="false" ht="15" hidden="false" customHeight="false" outlineLevel="0" collapsed="false"/>
    <row r="3245" customFormat="false" ht="15" hidden="false" customHeight="false" outlineLevel="0" collapsed="false"/>
    <row r="3246" customFormat="false" ht="15" hidden="false" customHeight="false" outlineLevel="0" collapsed="false"/>
    <row r="3247" customFormat="false" ht="15" hidden="false" customHeight="false" outlineLevel="0" collapsed="false"/>
    <row r="3248" customFormat="false" ht="15" hidden="false" customHeight="false" outlineLevel="0" collapsed="false"/>
    <row r="3249" customFormat="false" ht="15" hidden="false" customHeight="false" outlineLevel="0" collapsed="false"/>
    <row r="3250" customFormat="false" ht="15" hidden="false" customHeight="false" outlineLevel="0" collapsed="false"/>
    <row r="3251" customFormat="false" ht="15" hidden="false" customHeight="false" outlineLevel="0" collapsed="false"/>
    <row r="3252" customFormat="false" ht="15" hidden="false" customHeight="false" outlineLevel="0" collapsed="false"/>
    <row r="3253" customFormat="false" ht="15" hidden="false" customHeight="false" outlineLevel="0" collapsed="false"/>
    <row r="3254" customFormat="false" ht="15" hidden="false" customHeight="false" outlineLevel="0" collapsed="false"/>
    <row r="3255" customFormat="false" ht="15" hidden="false" customHeight="false" outlineLevel="0" collapsed="false"/>
    <row r="3256" customFormat="false" ht="15" hidden="false" customHeight="false" outlineLevel="0" collapsed="false"/>
    <row r="3257" customFormat="false" ht="15" hidden="false" customHeight="false" outlineLevel="0" collapsed="false"/>
    <row r="3258" customFormat="false" ht="15" hidden="false" customHeight="false" outlineLevel="0" collapsed="false"/>
    <row r="3259" customFormat="false" ht="15" hidden="false" customHeight="false" outlineLevel="0" collapsed="false"/>
    <row r="3260" customFormat="false" ht="15" hidden="false" customHeight="false" outlineLevel="0" collapsed="false"/>
    <row r="3261" customFormat="false" ht="15" hidden="false" customHeight="false" outlineLevel="0" collapsed="false"/>
    <row r="3262" customFormat="false" ht="15" hidden="false" customHeight="false" outlineLevel="0" collapsed="false"/>
    <row r="3263" customFormat="false" ht="15" hidden="false" customHeight="false" outlineLevel="0" collapsed="false"/>
    <row r="3264" customFormat="false" ht="15" hidden="false" customHeight="false" outlineLevel="0" collapsed="false"/>
    <row r="3265" customFormat="false" ht="15" hidden="false" customHeight="false" outlineLevel="0" collapsed="false"/>
    <row r="3266" customFormat="false" ht="15" hidden="false" customHeight="false" outlineLevel="0" collapsed="false"/>
    <row r="3267" customFormat="false" ht="15" hidden="false" customHeight="false" outlineLevel="0" collapsed="false"/>
    <row r="3268" customFormat="false" ht="15" hidden="false" customHeight="false" outlineLevel="0" collapsed="false"/>
    <row r="3269" customFormat="false" ht="15" hidden="false" customHeight="false" outlineLevel="0" collapsed="false"/>
    <row r="3270" customFormat="false" ht="15" hidden="false" customHeight="false" outlineLevel="0" collapsed="false"/>
    <row r="3271" customFormat="false" ht="15" hidden="false" customHeight="false" outlineLevel="0" collapsed="false"/>
    <row r="3272" customFormat="false" ht="15" hidden="false" customHeight="false" outlineLevel="0" collapsed="false"/>
    <row r="3273" customFormat="false" ht="15" hidden="false" customHeight="false" outlineLevel="0" collapsed="false"/>
    <row r="3274" customFormat="false" ht="15" hidden="false" customHeight="false" outlineLevel="0" collapsed="false"/>
    <row r="3275" customFormat="false" ht="15" hidden="false" customHeight="false" outlineLevel="0" collapsed="false"/>
    <row r="3276" customFormat="false" ht="15" hidden="false" customHeight="false" outlineLevel="0" collapsed="false"/>
    <row r="3277" customFormat="false" ht="15" hidden="false" customHeight="false" outlineLevel="0" collapsed="false"/>
    <row r="3278" customFormat="false" ht="15" hidden="false" customHeight="false" outlineLevel="0" collapsed="false"/>
    <row r="3279" customFormat="false" ht="15" hidden="false" customHeight="false" outlineLevel="0" collapsed="false"/>
    <row r="3280" customFormat="false" ht="15" hidden="false" customHeight="false" outlineLevel="0" collapsed="false"/>
    <row r="3281" customFormat="false" ht="15" hidden="false" customHeight="false" outlineLevel="0" collapsed="false"/>
    <row r="3282" customFormat="false" ht="15" hidden="false" customHeight="false" outlineLevel="0" collapsed="false"/>
    <row r="3283" customFormat="false" ht="15" hidden="false" customHeight="false" outlineLevel="0" collapsed="false"/>
    <row r="3284" customFormat="false" ht="15" hidden="false" customHeight="false" outlineLevel="0" collapsed="false"/>
    <row r="3285" customFormat="false" ht="15" hidden="false" customHeight="false" outlineLevel="0" collapsed="false"/>
    <row r="3286" customFormat="false" ht="15" hidden="false" customHeight="false" outlineLevel="0" collapsed="false"/>
    <row r="3287" customFormat="false" ht="15" hidden="false" customHeight="false" outlineLevel="0" collapsed="false"/>
    <row r="3288" customFormat="false" ht="15" hidden="false" customHeight="false" outlineLevel="0" collapsed="false"/>
    <row r="3289" customFormat="false" ht="15" hidden="false" customHeight="false" outlineLevel="0" collapsed="false"/>
    <row r="3290" customFormat="false" ht="15" hidden="false" customHeight="false" outlineLevel="0" collapsed="false"/>
    <row r="3291" customFormat="false" ht="15" hidden="false" customHeight="false" outlineLevel="0" collapsed="false"/>
    <row r="3292" customFormat="false" ht="15" hidden="false" customHeight="false" outlineLevel="0" collapsed="false"/>
    <row r="3293" customFormat="false" ht="15" hidden="false" customHeight="false" outlineLevel="0" collapsed="false"/>
    <row r="3294" customFormat="false" ht="15" hidden="false" customHeight="false" outlineLevel="0" collapsed="false"/>
    <row r="3295" customFormat="false" ht="15" hidden="false" customHeight="false" outlineLevel="0" collapsed="false"/>
    <row r="3296" customFormat="false" ht="15" hidden="false" customHeight="false" outlineLevel="0" collapsed="false"/>
    <row r="3297" customFormat="false" ht="15" hidden="false" customHeight="false" outlineLevel="0" collapsed="false"/>
    <row r="3298" customFormat="false" ht="15" hidden="false" customHeight="false" outlineLevel="0" collapsed="false"/>
    <row r="3299" customFormat="false" ht="15" hidden="false" customHeight="false" outlineLevel="0" collapsed="false"/>
    <row r="3300" customFormat="false" ht="15" hidden="false" customHeight="false" outlineLevel="0" collapsed="false"/>
    <row r="3301" customFormat="false" ht="15" hidden="false" customHeight="false" outlineLevel="0" collapsed="false"/>
    <row r="3302" customFormat="false" ht="15" hidden="false" customHeight="false" outlineLevel="0" collapsed="false"/>
    <row r="3303" customFormat="false" ht="15" hidden="false" customHeight="false" outlineLevel="0" collapsed="false"/>
    <row r="3304" customFormat="false" ht="15" hidden="false" customHeight="false" outlineLevel="0" collapsed="false"/>
    <row r="3305" customFormat="false" ht="15" hidden="false" customHeight="false" outlineLevel="0" collapsed="false"/>
    <row r="3306" customFormat="false" ht="15" hidden="false" customHeight="false" outlineLevel="0" collapsed="false"/>
    <row r="3307" customFormat="false" ht="15" hidden="false" customHeight="false" outlineLevel="0" collapsed="false"/>
    <row r="3308" customFormat="false" ht="15" hidden="false" customHeight="false" outlineLevel="0" collapsed="false"/>
    <row r="3309" customFormat="false" ht="15" hidden="false" customHeight="false" outlineLevel="0" collapsed="false"/>
    <row r="3310" customFormat="false" ht="15" hidden="false" customHeight="false" outlineLevel="0" collapsed="false"/>
    <row r="3311" customFormat="false" ht="15" hidden="false" customHeight="false" outlineLevel="0" collapsed="false"/>
    <row r="3312" customFormat="false" ht="15" hidden="false" customHeight="false" outlineLevel="0" collapsed="false"/>
    <row r="3313" customFormat="false" ht="15" hidden="false" customHeight="false" outlineLevel="0" collapsed="false"/>
    <row r="3314" customFormat="false" ht="15" hidden="false" customHeight="false" outlineLevel="0" collapsed="false"/>
    <row r="3315" customFormat="false" ht="15" hidden="false" customHeight="false" outlineLevel="0" collapsed="false"/>
    <row r="3316" customFormat="false" ht="15" hidden="false" customHeight="false" outlineLevel="0" collapsed="false"/>
    <row r="3317" customFormat="false" ht="15" hidden="false" customHeight="false" outlineLevel="0" collapsed="false"/>
    <row r="3318" customFormat="false" ht="15" hidden="false" customHeight="false" outlineLevel="0" collapsed="false"/>
    <row r="3319" customFormat="false" ht="15" hidden="false" customHeight="false" outlineLevel="0" collapsed="false"/>
    <row r="3320" customFormat="false" ht="15" hidden="false" customHeight="false" outlineLevel="0" collapsed="false"/>
    <row r="3321" customFormat="false" ht="15" hidden="false" customHeight="false" outlineLevel="0" collapsed="false"/>
    <row r="3322" customFormat="false" ht="15" hidden="false" customHeight="false" outlineLevel="0" collapsed="false"/>
    <row r="3323" customFormat="false" ht="15" hidden="false" customHeight="false" outlineLevel="0" collapsed="false"/>
    <row r="3324" customFormat="false" ht="15" hidden="false" customHeight="false" outlineLevel="0" collapsed="false"/>
    <row r="3325" customFormat="false" ht="15" hidden="false" customHeight="false" outlineLevel="0" collapsed="false"/>
    <row r="3326" customFormat="false" ht="15" hidden="false" customHeight="false" outlineLevel="0" collapsed="false"/>
    <row r="3327" customFormat="false" ht="15" hidden="false" customHeight="false" outlineLevel="0" collapsed="false"/>
    <row r="3328" customFormat="false" ht="15" hidden="false" customHeight="false" outlineLevel="0" collapsed="false"/>
    <row r="3329" customFormat="false" ht="15" hidden="false" customHeight="false" outlineLevel="0" collapsed="false"/>
    <row r="3330" customFormat="false" ht="15" hidden="false" customHeight="false" outlineLevel="0" collapsed="false"/>
    <row r="3331" customFormat="false" ht="15" hidden="false" customHeight="false" outlineLevel="0" collapsed="false"/>
    <row r="3332" customFormat="false" ht="15" hidden="false" customHeight="false" outlineLevel="0" collapsed="false"/>
    <row r="3333" customFormat="false" ht="15" hidden="false" customHeight="false" outlineLevel="0" collapsed="false"/>
    <row r="3334" customFormat="false" ht="15" hidden="false" customHeight="false" outlineLevel="0" collapsed="false"/>
    <row r="3335" customFormat="false" ht="15" hidden="false" customHeight="false" outlineLevel="0" collapsed="false"/>
    <row r="3336" customFormat="false" ht="15" hidden="false" customHeight="false" outlineLevel="0" collapsed="false"/>
    <row r="3337" customFormat="false" ht="15" hidden="false" customHeight="false" outlineLevel="0" collapsed="false"/>
    <row r="3338" customFormat="false" ht="15" hidden="false" customHeight="false" outlineLevel="0" collapsed="false"/>
    <row r="3339" customFormat="false" ht="15" hidden="false" customHeight="false" outlineLevel="0" collapsed="false"/>
    <row r="3340" customFormat="false" ht="15" hidden="false" customHeight="false" outlineLevel="0" collapsed="false"/>
    <row r="3341" customFormat="false" ht="15" hidden="false" customHeight="false" outlineLevel="0" collapsed="false"/>
    <row r="3342" customFormat="false" ht="15" hidden="false" customHeight="false" outlineLevel="0" collapsed="false"/>
    <row r="3343" customFormat="false" ht="15" hidden="false" customHeight="false" outlineLevel="0" collapsed="false"/>
    <row r="3344" customFormat="false" ht="15" hidden="false" customHeight="false" outlineLevel="0" collapsed="false"/>
    <row r="3345" customFormat="false" ht="15" hidden="false" customHeight="false" outlineLevel="0" collapsed="false"/>
    <row r="3346" customFormat="false" ht="15" hidden="false" customHeight="false" outlineLevel="0" collapsed="false"/>
    <row r="3347" customFormat="false" ht="15" hidden="false" customHeight="false" outlineLevel="0" collapsed="false"/>
    <row r="3348" customFormat="false" ht="15" hidden="false" customHeight="false" outlineLevel="0" collapsed="false"/>
    <row r="3349" customFormat="false" ht="15" hidden="false" customHeight="false" outlineLevel="0" collapsed="false"/>
    <row r="3350" customFormat="false" ht="15" hidden="false" customHeight="false" outlineLevel="0" collapsed="false"/>
    <row r="3351" customFormat="false" ht="15" hidden="false" customHeight="false" outlineLevel="0" collapsed="false"/>
    <row r="3352" customFormat="false" ht="15" hidden="false" customHeight="false" outlineLevel="0" collapsed="false"/>
    <row r="3353" customFormat="false" ht="15" hidden="false" customHeight="false" outlineLevel="0" collapsed="false"/>
    <row r="3354" customFormat="false" ht="15" hidden="false" customHeight="false" outlineLevel="0" collapsed="false"/>
    <row r="3355" customFormat="false" ht="15" hidden="false" customHeight="false" outlineLevel="0" collapsed="false"/>
    <row r="3356" customFormat="false" ht="15" hidden="false" customHeight="false" outlineLevel="0" collapsed="false"/>
    <row r="3357" customFormat="false" ht="15" hidden="false" customHeight="false" outlineLevel="0" collapsed="false"/>
    <row r="3358" customFormat="false" ht="15" hidden="false" customHeight="false" outlineLevel="0" collapsed="false"/>
    <row r="3359" customFormat="false" ht="15" hidden="false" customHeight="false" outlineLevel="0" collapsed="false"/>
    <row r="3360" customFormat="false" ht="15" hidden="false" customHeight="false" outlineLevel="0" collapsed="false"/>
    <row r="3361" customFormat="false" ht="15" hidden="false" customHeight="false" outlineLevel="0" collapsed="false"/>
    <row r="3362" customFormat="false" ht="15" hidden="false" customHeight="false" outlineLevel="0" collapsed="false"/>
    <row r="3363" customFormat="false" ht="15" hidden="false" customHeight="false" outlineLevel="0" collapsed="false"/>
    <row r="3364" customFormat="false" ht="15" hidden="false" customHeight="false" outlineLevel="0" collapsed="false"/>
    <row r="3365" customFormat="false" ht="15" hidden="false" customHeight="false" outlineLevel="0" collapsed="false"/>
    <row r="3366" customFormat="false" ht="15" hidden="false" customHeight="false" outlineLevel="0" collapsed="false"/>
    <row r="3367" customFormat="false" ht="15" hidden="false" customHeight="false" outlineLevel="0" collapsed="false"/>
    <row r="3368" customFormat="false" ht="15" hidden="false" customHeight="false" outlineLevel="0" collapsed="false"/>
    <row r="3369" customFormat="false" ht="15" hidden="false" customHeight="false" outlineLevel="0" collapsed="false"/>
    <row r="3370" customFormat="false" ht="15" hidden="false" customHeight="false" outlineLevel="0" collapsed="false"/>
    <row r="3371" customFormat="false" ht="15" hidden="false" customHeight="false" outlineLevel="0" collapsed="false"/>
    <row r="3372" customFormat="false" ht="15" hidden="false" customHeight="false" outlineLevel="0" collapsed="false"/>
    <row r="3373" customFormat="false" ht="15" hidden="false" customHeight="false" outlineLevel="0" collapsed="false"/>
    <row r="3374" customFormat="false" ht="15" hidden="false" customHeight="false" outlineLevel="0" collapsed="false"/>
    <row r="3375" customFormat="false" ht="15" hidden="false" customHeight="false" outlineLevel="0" collapsed="false"/>
    <row r="3376" customFormat="false" ht="15" hidden="false" customHeight="false" outlineLevel="0" collapsed="false"/>
    <row r="3377" customFormat="false" ht="15" hidden="false" customHeight="false" outlineLevel="0" collapsed="false"/>
    <row r="3378" customFormat="false" ht="15" hidden="false" customHeight="false" outlineLevel="0" collapsed="false"/>
    <row r="3379" customFormat="false" ht="15" hidden="false" customHeight="false" outlineLevel="0" collapsed="false"/>
    <row r="3380" customFormat="false" ht="15" hidden="false" customHeight="false" outlineLevel="0" collapsed="false"/>
    <row r="3381" customFormat="false" ht="15" hidden="false" customHeight="false" outlineLevel="0" collapsed="false"/>
    <row r="3382" customFormat="false" ht="15" hidden="false" customHeight="false" outlineLevel="0" collapsed="false"/>
    <row r="3383" customFormat="false" ht="15" hidden="false" customHeight="false" outlineLevel="0" collapsed="false"/>
    <row r="3384" customFormat="false" ht="15" hidden="false" customHeight="false" outlineLevel="0" collapsed="false"/>
    <row r="3385" customFormat="false" ht="15" hidden="false" customHeight="false" outlineLevel="0" collapsed="false"/>
    <row r="3386" customFormat="false" ht="15" hidden="false" customHeight="false" outlineLevel="0" collapsed="false"/>
    <row r="3387" customFormat="false" ht="15" hidden="false" customHeight="false" outlineLevel="0" collapsed="false"/>
    <row r="3388" customFormat="false" ht="15" hidden="false" customHeight="false" outlineLevel="0" collapsed="false"/>
    <row r="3389" customFormat="false" ht="15" hidden="false" customHeight="false" outlineLevel="0" collapsed="false"/>
    <row r="3390" customFormat="false" ht="15" hidden="false" customHeight="false" outlineLevel="0" collapsed="false"/>
    <row r="3391" customFormat="false" ht="15" hidden="false" customHeight="false" outlineLevel="0" collapsed="false"/>
    <row r="3392" customFormat="false" ht="15" hidden="false" customHeight="false" outlineLevel="0" collapsed="false"/>
    <row r="3393" customFormat="false" ht="15" hidden="false" customHeight="false" outlineLevel="0" collapsed="false"/>
    <row r="3394" customFormat="false" ht="15" hidden="false" customHeight="false" outlineLevel="0" collapsed="false"/>
    <row r="3395" customFormat="false" ht="15" hidden="false" customHeight="false" outlineLevel="0" collapsed="false"/>
    <row r="3396" customFormat="false" ht="15" hidden="false" customHeight="false" outlineLevel="0" collapsed="false"/>
    <row r="3397" customFormat="false" ht="15" hidden="false" customHeight="false" outlineLevel="0" collapsed="false"/>
    <row r="3398" customFormat="false" ht="15" hidden="false" customHeight="false" outlineLevel="0" collapsed="false"/>
    <row r="3399" customFormat="false" ht="15" hidden="false" customHeight="false" outlineLevel="0" collapsed="false"/>
    <row r="3400" customFormat="false" ht="15" hidden="false" customHeight="false" outlineLevel="0" collapsed="false"/>
    <row r="3401" customFormat="false" ht="15" hidden="false" customHeight="false" outlineLevel="0" collapsed="false"/>
    <row r="3402" customFormat="false" ht="15" hidden="false" customHeight="false" outlineLevel="0" collapsed="false"/>
    <row r="3403" customFormat="false" ht="15" hidden="false" customHeight="false" outlineLevel="0" collapsed="false"/>
    <row r="3404" customFormat="false" ht="15" hidden="false" customHeight="false" outlineLevel="0" collapsed="false"/>
    <row r="3405" customFormat="false" ht="15" hidden="false" customHeight="false" outlineLevel="0" collapsed="false"/>
    <row r="3406" customFormat="false" ht="15" hidden="false" customHeight="false" outlineLevel="0" collapsed="false"/>
    <row r="3407" customFormat="false" ht="15" hidden="false" customHeight="false" outlineLevel="0" collapsed="false"/>
    <row r="3408" customFormat="false" ht="15" hidden="false" customHeight="false" outlineLevel="0" collapsed="false"/>
    <row r="3409" customFormat="false" ht="15" hidden="false" customHeight="false" outlineLevel="0" collapsed="false"/>
    <row r="3410" customFormat="false" ht="15" hidden="false" customHeight="false" outlineLevel="0" collapsed="false"/>
    <row r="3411" customFormat="false" ht="15" hidden="false" customHeight="false" outlineLevel="0" collapsed="false"/>
    <row r="3412" customFormat="false" ht="15" hidden="false" customHeight="false" outlineLevel="0" collapsed="false"/>
    <row r="3413" customFormat="false" ht="15" hidden="false" customHeight="false" outlineLevel="0" collapsed="false"/>
    <row r="3414" customFormat="false" ht="15" hidden="false" customHeight="false" outlineLevel="0" collapsed="false"/>
    <row r="3415" customFormat="false" ht="15" hidden="false" customHeight="false" outlineLevel="0" collapsed="false"/>
    <row r="3416" customFormat="false" ht="15" hidden="false" customHeight="false" outlineLevel="0" collapsed="false"/>
    <row r="3417" customFormat="false" ht="15" hidden="false" customHeight="false" outlineLevel="0" collapsed="false"/>
    <row r="3418" customFormat="false" ht="15" hidden="false" customHeight="false" outlineLevel="0" collapsed="false"/>
    <row r="3419" customFormat="false" ht="15" hidden="false" customHeight="false" outlineLevel="0" collapsed="false"/>
    <row r="3420" customFormat="false" ht="15" hidden="false" customHeight="false" outlineLevel="0" collapsed="false"/>
    <row r="3421" customFormat="false" ht="15" hidden="false" customHeight="false" outlineLevel="0" collapsed="false"/>
    <row r="3422" customFormat="false" ht="15" hidden="false" customHeight="false" outlineLevel="0" collapsed="false"/>
    <row r="3423" customFormat="false" ht="15" hidden="false" customHeight="false" outlineLevel="0" collapsed="false"/>
    <row r="3424" customFormat="false" ht="15" hidden="false" customHeight="false" outlineLevel="0" collapsed="false"/>
    <row r="3425" customFormat="false" ht="15" hidden="false" customHeight="false" outlineLevel="0" collapsed="false"/>
    <row r="3426" customFormat="false" ht="15" hidden="false" customHeight="false" outlineLevel="0" collapsed="false"/>
    <row r="3427" customFormat="false" ht="15" hidden="false" customHeight="false" outlineLevel="0" collapsed="false"/>
    <row r="3428" customFormat="false" ht="15" hidden="false" customHeight="false" outlineLevel="0" collapsed="false"/>
    <row r="3429" customFormat="false" ht="15" hidden="false" customHeight="false" outlineLevel="0" collapsed="false"/>
    <row r="3430" customFormat="false" ht="15" hidden="false" customHeight="false" outlineLevel="0" collapsed="false"/>
    <row r="3431" customFormat="false" ht="15" hidden="false" customHeight="false" outlineLevel="0" collapsed="false"/>
    <row r="3432" customFormat="false" ht="15" hidden="false" customHeight="false" outlineLevel="0" collapsed="false"/>
    <row r="3433" customFormat="false" ht="15" hidden="false" customHeight="false" outlineLevel="0" collapsed="false"/>
    <row r="3434" customFormat="false" ht="15" hidden="false" customHeight="false" outlineLevel="0" collapsed="false"/>
    <row r="3435" customFormat="false" ht="15" hidden="false" customHeight="false" outlineLevel="0" collapsed="false"/>
    <row r="3436" customFormat="false" ht="15" hidden="false" customHeight="false" outlineLevel="0" collapsed="false"/>
    <row r="3437" customFormat="false" ht="15" hidden="false" customHeight="false" outlineLevel="0" collapsed="false"/>
    <row r="3438" customFormat="false" ht="15" hidden="false" customHeight="false" outlineLevel="0" collapsed="false"/>
    <row r="3439" customFormat="false" ht="15" hidden="false" customHeight="false" outlineLevel="0" collapsed="false"/>
    <row r="3440" customFormat="false" ht="15" hidden="false" customHeight="false" outlineLevel="0" collapsed="false"/>
    <row r="3441" customFormat="false" ht="15" hidden="false" customHeight="false" outlineLevel="0" collapsed="false"/>
    <row r="3442" customFormat="false" ht="15" hidden="false" customHeight="false" outlineLevel="0" collapsed="false"/>
    <row r="3443" customFormat="false" ht="15" hidden="false" customHeight="false" outlineLevel="0" collapsed="false"/>
    <row r="3444" customFormat="false" ht="15" hidden="false" customHeight="false" outlineLevel="0" collapsed="false"/>
    <row r="3445" customFormat="false" ht="15" hidden="false" customHeight="false" outlineLevel="0" collapsed="false"/>
    <row r="3446" customFormat="false" ht="15" hidden="false" customHeight="false" outlineLevel="0" collapsed="false"/>
    <row r="3447" customFormat="false" ht="15" hidden="false" customHeight="false" outlineLevel="0" collapsed="false"/>
    <row r="3448" customFormat="false" ht="15" hidden="false" customHeight="false" outlineLevel="0" collapsed="false"/>
    <row r="3449" customFormat="false" ht="15" hidden="false" customHeight="false" outlineLevel="0" collapsed="false"/>
    <row r="3450" customFormat="false" ht="15" hidden="false" customHeight="false" outlineLevel="0" collapsed="false"/>
    <row r="3451" customFormat="false" ht="15" hidden="false" customHeight="false" outlineLevel="0" collapsed="false"/>
    <row r="3452" customFormat="false" ht="15" hidden="false" customHeight="false" outlineLevel="0" collapsed="false"/>
    <row r="3453" customFormat="false" ht="15" hidden="false" customHeight="false" outlineLevel="0" collapsed="false"/>
    <row r="3454" customFormat="false" ht="15" hidden="false" customHeight="false" outlineLevel="0" collapsed="false"/>
    <row r="3455" customFormat="false" ht="15" hidden="false" customHeight="false" outlineLevel="0" collapsed="false"/>
    <row r="3456" customFormat="false" ht="15" hidden="false" customHeight="false" outlineLevel="0" collapsed="false"/>
    <row r="3457" customFormat="false" ht="15" hidden="false" customHeight="false" outlineLevel="0" collapsed="false"/>
    <row r="3458" customFormat="false" ht="15" hidden="false" customHeight="false" outlineLevel="0" collapsed="false"/>
    <row r="3459" customFormat="false" ht="15" hidden="false" customHeight="false" outlineLevel="0" collapsed="false"/>
    <row r="3460" customFormat="false" ht="15" hidden="false" customHeight="false" outlineLevel="0" collapsed="false"/>
    <row r="3461" customFormat="false" ht="15" hidden="false" customHeight="false" outlineLevel="0" collapsed="false"/>
    <row r="3462" customFormat="false" ht="15" hidden="false" customHeight="false" outlineLevel="0" collapsed="false"/>
    <row r="3463" customFormat="false" ht="15" hidden="false" customHeight="false" outlineLevel="0" collapsed="false"/>
    <row r="3464" customFormat="false" ht="15" hidden="false" customHeight="false" outlineLevel="0" collapsed="false"/>
    <row r="3465" customFormat="false" ht="15" hidden="false" customHeight="false" outlineLevel="0" collapsed="false"/>
    <row r="3466" customFormat="false" ht="15" hidden="false" customHeight="false" outlineLevel="0" collapsed="false"/>
    <row r="3467" customFormat="false" ht="15" hidden="false" customHeight="false" outlineLevel="0" collapsed="false"/>
    <row r="3468" customFormat="false" ht="15" hidden="false" customHeight="false" outlineLevel="0" collapsed="false"/>
    <row r="3469" customFormat="false" ht="15" hidden="false" customHeight="false" outlineLevel="0" collapsed="false"/>
    <row r="3470" customFormat="false" ht="15" hidden="false" customHeight="false" outlineLevel="0" collapsed="false"/>
    <row r="3471" customFormat="false" ht="15" hidden="false" customHeight="false" outlineLevel="0" collapsed="false"/>
    <row r="3472" customFormat="false" ht="15" hidden="false" customHeight="false" outlineLevel="0" collapsed="false"/>
    <row r="3473" customFormat="false" ht="15" hidden="false" customHeight="false" outlineLevel="0" collapsed="false"/>
    <row r="3474" customFormat="false" ht="15" hidden="false" customHeight="false" outlineLevel="0" collapsed="false"/>
    <row r="3475" customFormat="false" ht="15" hidden="false" customHeight="false" outlineLevel="0" collapsed="false"/>
    <row r="3476" customFormat="false" ht="15" hidden="false" customHeight="false" outlineLevel="0" collapsed="false"/>
    <row r="3477" customFormat="false" ht="15" hidden="false" customHeight="false" outlineLevel="0" collapsed="false"/>
    <row r="3478" customFormat="false" ht="15" hidden="false" customHeight="false" outlineLevel="0" collapsed="false"/>
    <row r="3479" customFormat="false" ht="15" hidden="false" customHeight="false" outlineLevel="0" collapsed="false"/>
    <row r="3480" customFormat="false" ht="15" hidden="false" customHeight="false" outlineLevel="0" collapsed="false"/>
    <row r="3481" customFormat="false" ht="15" hidden="false" customHeight="false" outlineLevel="0" collapsed="false"/>
    <row r="3482" customFormat="false" ht="15" hidden="false" customHeight="false" outlineLevel="0" collapsed="false"/>
    <row r="3483" customFormat="false" ht="15" hidden="false" customHeight="false" outlineLevel="0" collapsed="false"/>
    <row r="3484" customFormat="false" ht="15" hidden="false" customHeight="false" outlineLevel="0" collapsed="false"/>
    <row r="3485" customFormat="false" ht="15" hidden="false" customHeight="false" outlineLevel="0" collapsed="false"/>
    <row r="3486" customFormat="false" ht="15" hidden="false" customHeight="false" outlineLevel="0" collapsed="false"/>
    <row r="3487" customFormat="false" ht="15" hidden="false" customHeight="false" outlineLevel="0" collapsed="false"/>
    <row r="3488" customFormat="false" ht="15" hidden="false" customHeight="false" outlineLevel="0" collapsed="false"/>
    <row r="3489" customFormat="false" ht="15" hidden="false" customHeight="false" outlineLevel="0" collapsed="false"/>
    <row r="3490" customFormat="false" ht="15" hidden="false" customHeight="false" outlineLevel="0" collapsed="false"/>
    <row r="3491" customFormat="false" ht="15" hidden="false" customHeight="false" outlineLevel="0" collapsed="false"/>
    <row r="3492" customFormat="false" ht="15" hidden="false" customHeight="false" outlineLevel="0" collapsed="false"/>
    <row r="3493" customFormat="false" ht="15" hidden="false" customHeight="false" outlineLevel="0" collapsed="false"/>
    <row r="3494" customFormat="false" ht="15" hidden="false" customHeight="false" outlineLevel="0" collapsed="false"/>
    <row r="3495" customFormat="false" ht="15" hidden="false" customHeight="false" outlineLevel="0" collapsed="false"/>
    <row r="3496" customFormat="false" ht="15" hidden="false" customHeight="false" outlineLevel="0" collapsed="false"/>
    <row r="3497" customFormat="false" ht="15" hidden="false" customHeight="false" outlineLevel="0" collapsed="false"/>
    <row r="3498" customFormat="false" ht="15" hidden="false" customHeight="false" outlineLevel="0" collapsed="false"/>
    <row r="3499" customFormat="false" ht="15" hidden="false" customHeight="false" outlineLevel="0" collapsed="false"/>
    <row r="3500" customFormat="false" ht="15" hidden="false" customHeight="false" outlineLevel="0" collapsed="false"/>
    <row r="3501" customFormat="false" ht="15" hidden="false" customHeight="false" outlineLevel="0" collapsed="false"/>
    <row r="3502" customFormat="false" ht="15" hidden="false" customHeight="false" outlineLevel="0" collapsed="false"/>
    <row r="3503" customFormat="false" ht="15" hidden="false" customHeight="false" outlineLevel="0" collapsed="false"/>
    <row r="3504" customFormat="false" ht="15" hidden="false" customHeight="false" outlineLevel="0" collapsed="false"/>
    <row r="3505" customFormat="false" ht="15" hidden="false" customHeight="false" outlineLevel="0" collapsed="false"/>
    <row r="3506" customFormat="false" ht="15" hidden="false" customHeight="false" outlineLevel="0" collapsed="false"/>
    <row r="3507" customFormat="false" ht="15" hidden="false" customHeight="false" outlineLevel="0" collapsed="false"/>
    <row r="3508" customFormat="false" ht="15" hidden="false" customHeight="false" outlineLevel="0" collapsed="false"/>
    <row r="3509" customFormat="false" ht="15" hidden="false" customHeight="false" outlineLevel="0" collapsed="false"/>
    <row r="3510" customFormat="false" ht="15" hidden="false" customHeight="false" outlineLevel="0" collapsed="false"/>
    <row r="3511" customFormat="false" ht="15" hidden="false" customHeight="false" outlineLevel="0" collapsed="false"/>
    <row r="3512" customFormat="false" ht="15" hidden="false" customHeight="false" outlineLevel="0" collapsed="false"/>
    <row r="3513" customFormat="false" ht="15" hidden="false" customHeight="false" outlineLevel="0" collapsed="false"/>
    <row r="3514" customFormat="false" ht="15" hidden="false" customHeight="false" outlineLevel="0" collapsed="false"/>
    <row r="3515" customFormat="false" ht="15" hidden="false" customHeight="false" outlineLevel="0" collapsed="false"/>
    <row r="3516" customFormat="false" ht="15" hidden="false" customHeight="false" outlineLevel="0" collapsed="false"/>
    <row r="3517" customFormat="false" ht="15" hidden="false" customHeight="false" outlineLevel="0" collapsed="false"/>
    <row r="3518" customFormat="false" ht="15" hidden="false" customHeight="false" outlineLevel="0" collapsed="false"/>
    <row r="3519" customFormat="false" ht="15" hidden="false" customHeight="false" outlineLevel="0" collapsed="false"/>
    <row r="3520" customFormat="false" ht="15" hidden="false" customHeight="false" outlineLevel="0" collapsed="false"/>
    <row r="3521" customFormat="false" ht="15" hidden="false" customHeight="false" outlineLevel="0" collapsed="false"/>
    <row r="3522" customFormat="false" ht="15" hidden="false" customHeight="false" outlineLevel="0" collapsed="false"/>
    <row r="3523" customFormat="false" ht="15" hidden="false" customHeight="false" outlineLevel="0" collapsed="false"/>
    <row r="3524" customFormat="false" ht="15" hidden="false" customHeight="false" outlineLevel="0" collapsed="false"/>
    <row r="3525" customFormat="false" ht="15" hidden="false" customHeight="false" outlineLevel="0" collapsed="false"/>
    <row r="3526" customFormat="false" ht="15" hidden="false" customHeight="false" outlineLevel="0" collapsed="false"/>
    <row r="3527" customFormat="false" ht="15" hidden="false" customHeight="false" outlineLevel="0" collapsed="false"/>
    <row r="3528" customFormat="false" ht="15" hidden="false" customHeight="false" outlineLevel="0" collapsed="false"/>
    <row r="3529" customFormat="false" ht="15" hidden="false" customHeight="false" outlineLevel="0" collapsed="false"/>
    <row r="3530" customFormat="false" ht="15" hidden="false" customHeight="false" outlineLevel="0" collapsed="false"/>
    <row r="3531" customFormat="false" ht="15" hidden="false" customHeight="false" outlineLevel="0" collapsed="false"/>
    <row r="3532" customFormat="false" ht="15" hidden="false" customHeight="false" outlineLevel="0" collapsed="false"/>
    <row r="3533" customFormat="false" ht="15" hidden="false" customHeight="false" outlineLevel="0" collapsed="false"/>
    <row r="3534" customFormat="false" ht="15" hidden="false" customHeight="false" outlineLevel="0" collapsed="false"/>
    <row r="3535" customFormat="false" ht="15" hidden="false" customHeight="false" outlineLevel="0" collapsed="false"/>
    <row r="3536" customFormat="false" ht="15" hidden="false" customHeight="false" outlineLevel="0" collapsed="false"/>
    <row r="3537" customFormat="false" ht="15" hidden="false" customHeight="false" outlineLevel="0" collapsed="false"/>
    <row r="3538" customFormat="false" ht="15" hidden="false" customHeight="false" outlineLevel="0" collapsed="false"/>
    <row r="3539" customFormat="false" ht="15" hidden="false" customHeight="false" outlineLevel="0" collapsed="false"/>
    <row r="3540" customFormat="false" ht="15" hidden="false" customHeight="false" outlineLevel="0" collapsed="false"/>
    <row r="3541" customFormat="false" ht="15" hidden="false" customHeight="false" outlineLevel="0" collapsed="false"/>
    <row r="3542" customFormat="false" ht="15" hidden="false" customHeight="false" outlineLevel="0" collapsed="false"/>
    <row r="3543" customFormat="false" ht="15" hidden="false" customHeight="false" outlineLevel="0" collapsed="false"/>
    <row r="3544" customFormat="false" ht="15" hidden="false" customHeight="false" outlineLevel="0" collapsed="false"/>
    <row r="3545" customFormat="false" ht="15" hidden="false" customHeight="false" outlineLevel="0" collapsed="false"/>
    <row r="3546" customFormat="false" ht="15" hidden="false" customHeight="false" outlineLevel="0" collapsed="false"/>
    <row r="3547" customFormat="false" ht="15" hidden="false" customHeight="false" outlineLevel="0" collapsed="false"/>
    <row r="3548" customFormat="false" ht="15" hidden="false" customHeight="false" outlineLevel="0" collapsed="false"/>
    <row r="3549" customFormat="false" ht="15" hidden="false" customHeight="false" outlineLevel="0" collapsed="false"/>
    <row r="3550" customFormat="false" ht="15" hidden="false" customHeight="false" outlineLevel="0" collapsed="false"/>
    <row r="3551" customFormat="false" ht="15" hidden="false" customHeight="false" outlineLevel="0" collapsed="false"/>
    <row r="3552" customFormat="false" ht="15" hidden="false" customHeight="false" outlineLevel="0" collapsed="false"/>
    <row r="3553" customFormat="false" ht="15" hidden="false" customHeight="false" outlineLevel="0" collapsed="false"/>
    <row r="3554" customFormat="false" ht="15" hidden="false" customHeight="false" outlineLevel="0" collapsed="false"/>
    <row r="3555" customFormat="false" ht="15" hidden="false" customHeight="false" outlineLevel="0" collapsed="false"/>
    <row r="3556" customFormat="false" ht="15" hidden="false" customHeight="false" outlineLevel="0" collapsed="false"/>
    <row r="3557" customFormat="false" ht="15" hidden="false" customHeight="false" outlineLevel="0" collapsed="false"/>
    <row r="3558" customFormat="false" ht="15" hidden="false" customHeight="false" outlineLevel="0" collapsed="false"/>
    <row r="3559" customFormat="false" ht="15" hidden="false" customHeight="false" outlineLevel="0" collapsed="false"/>
    <row r="3560" customFormat="false" ht="15" hidden="false" customHeight="false" outlineLevel="0" collapsed="false"/>
    <row r="3561" customFormat="false" ht="15" hidden="false" customHeight="false" outlineLevel="0" collapsed="false"/>
    <row r="3562" customFormat="false" ht="15" hidden="false" customHeight="false" outlineLevel="0" collapsed="false"/>
    <row r="3563" customFormat="false" ht="15" hidden="false" customHeight="false" outlineLevel="0" collapsed="false"/>
    <row r="3564" customFormat="false" ht="15" hidden="false" customHeight="false" outlineLevel="0" collapsed="false"/>
    <row r="3565" customFormat="false" ht="15" hidden="false" customHeight="false" outlineLevel="0" collapsed="false"/>
    <row r="3566" customFormat="false" ht="15" hidden="false" customHeight="false" outlineLevel="0" collapsed="false"/>
    <row r="3567" customFormat="false" ht="15" hidden="false" customHeight="false" outlineLevel="0" collapsed="false"/>
    <row r="3568" customFormat="false" ht="15" hidden="false" customHeight="false" outlineLevel="0" collapsed="false"/>
    <row r="3569" customFormat="false" ht="15" hidden="false" customHeight="false" outlineLevel="0" collapsed="false"/>
    <row r="3570" customFormat="false" ht="15" hidden="false" customHeight="false" outlineLevel="0" collapsed="false"/>
    <row r="3571" customFormat="false" ht="15" hidden="false" customHeight="false" outlineLevel="0" collapsed="false"/>
    <row r="3572" customFormat="false" ht="15" hidden="false" customHeight="false" outlineLevel="0" collapsed="false"/>
    <row r="3573" customFormat="false" ht="15" hidden="false" customHeight="false" outlineLevel="0" collapsed="false"/>
    <row r="3574" customFormat="false" ht="15" hidden="false" customHeight="false" outlineLevel="0" collapsed="false"/>
    <row r="3575" customFormat="false" ht="15" hidden="false" customHeight="false" outlineLevel="0" collapsed="false"/>
    <row r="3576" customFormat="false" ht="15" hidden="false" customHeight="false" outlineLevel="0" collapsed="false"/>
    <row r="3577" customFormat="false" ht="15" hidden="false" customHeight="false" outlineLevel="0" collapsed="false"/>
    <row r="3578" customFormat="false" ht="15" hidden="false" customHeight="false" outlineLevel="0" collapsed="false"/>
    <row r="3579" customFormat="false" ht="15" hidden="false" customHeight="false" outlineLevel="0" collapsed="false"/>
    <row r="3580" customFormat="false" ht="15" hidden="false" customHeight="false" outlineLevel="0" collapsed="false"/>
    <row r="3581" customFormat="false" ht="15" hidden="false" customHeight="false" outlineLevel="0" collapsed="false"/>
    <row r="3582" customFormat="false" ht="15" hidden="false" customHeight="false" outlineLevel="0" collapsed="false"/>
    <row r="3583" customFormat="false" ht="15" hidden="false" customHeight="false" outlineLevel="0" collapsed="false"/>
    <row r="3584" customFormat="false" ht="15" hidden="false" customHeight="false" outlineLevel="0" collapsed="false"/>
    <row r="3585" customFormat="false" ht="15" hidden="false" customHeight="false" outlineLevel="0" collapsed="false"/>
    <row r="3586" customFormat="false" ht="15" hidden="false" customHeight="false" outlineLevel="0" collapsed="false"/>
    <row r="3587" customFormat="false" ht="15" hidden="false" customHeight="false" outlineLevel="0" collapsed="false"/>
    <row r="3588" customFormat="false" ht="15" hidden="false" customHeight="false" outlineLevel="0" collapsed="false"/>
    <row r="3589" customFormat="false" ht="15" hidden="false" customHeight="false" outlineLevel="0" collapsed="false"/>
    <row r="3590" customFormat="false" ht="15" hidden="false" customHeight="false" outlineLevel="0" collapsed="false"/>
    <row r="3591" customFormat="false" ht="15" hidden="false" customHeight="false" outlineLevel="0" collapsed="false"/>
    <row r="3592" customFormat="false" ht="15" hidden="false" customHeight="false" outlineLevel="0" collapsed="false"/>
    <row r="3593" customFormat="false" ht="15" hidden="false" customHeight="false" outlineLevel="0" collapsed="false"/>
    <row r="3594" customFormat="false" ht="15" hidden="false" customHeight="false" outlineLevel="0" collapsed="false"/>
    <row r="3595" customFormat="false" ht="15" hidden="false" customHeight="false" outlineLevel="0" collapsed="false"/>
    <row r="3596" customFormat="false" ht="15" hidden="false" customHeight="false" outlineLevel="0" collapsed="false"/>
    <row r="3597" customFormat="false" ht="15" hidden="false" customHeight="false" outlineLevel="0" collapsed="false"/>
    <row r="3598" customFormat="false" ht="15" hidden="false" customHeight="false" outlineLevel="0" collapsed="false"/>
    <row r="3599" customFormat="false" ht="15" hidden="false" customHeight="false" outlineLevel="0" collapsed="false"/>
    <row r="3600" customFormat="false" ht="15" hidden="false" customHeight="false" outlineLevel="0" collapsed="false"/>
    <row r="3601" customFormat="false" ht="15" hidden="false" customHeight="false" outlineLevel="0" collapsed="false"/>
    <row r="3602" customFormat="false" ht="15" hidden="false" customHeight="false" outlineLevel="0" collapsed="false"/>
    <row r="3603" customFormat="false" ht="15" hidden="false" customHeight="false" outlineLevel="0" collapsed="false"/>
    <row r="3604" customFormat="false" ht="15" hidden="false" customHeight="false" outlineLevel="0" collapsed="false"/>
    <row r="3605" customFormat="false" ht="15" hidden="false" customHeight="false" outlineLevel="0" collapsed="false"/>
    <row r="3606" customFormat="false" ht="15" hidden="false" customHeight="false" outlineLevel="0" collapsed="false"/>
    <row r="3607" customFormat="false" ht="15" hidden="false" customHeight="false" outlineLevel="0" collapsed="false"/>
    <row r="3608" customFormat="false" ht="15" hidden="false" customHeight="false" outlineLevel="0" collapsed="false"/>
    <row r="3609" customFormat="false" ht="15" hidden="false" customHeight="false" outlineLevel="0" collapsed="false"/>
    <row r="3610" customFormat="false" ht="15" hidden="false" customHeight="false" outlineLevel="0" collapsed="false"/>
    <row r="3611" customFormat="false" ht="15" hidden="false" customHeight="false" outlineLevel="0" collapsed="false"/>
    <row r="3612" customFormat="false" ht="15" hidden="false" customHeight="false" outlineLevel="0" collapsed="false"/>
    <row r="3613" customFormat="false" ht="15" hidden="false" customHeight="false" outlineLevel="0" collapsed="false"/>
    <row r="3614" customFormat="false" ht="15" hidden="false" customHeight="false" outlineLevel="0" collapsed="false"/>
    <row r="3615" customFormat="false" ht="15" hidden="false" customHeight="false" outlineLevel="0" collapsed="false"/>
    <row r="3616" customFormat="false" ht="15" hidden="false" customHeight="false" outlineLevel="0" collapsed="false"/>
    <row r="3617" customFormat="false" ht="15" hidden="false" customHeight="false" outlineLevel="0" collapsed="false"/>
    <row r="3618" customFormat="false" ht="15" hidden="false" customHeight="false" outlineLevel="0" collapsed="false"/>
    <row r="3619" customFormat="false" ht="15" hidden="false" customHeight="false" outlineLevel="0" collapsed="false"/>
    <row r="3620" customFormat="false" ht="15" hidden="false" customHeight="false" outlineLevel="0" collapsed="false"/>
    <row r="3621" customFormat="false" ht="15" hidden="false" customHeight="false" outlineLevel="0" collapsed="false"/>
    <row r="3622" customFormat="false" ht="15" hidden="false" customHeight="false" outlineLevel="0" collapsed="false"/>
    <row r="3623" customFormat="false" ht="15" hidden="false" customHeight="false" outlineLevel="0" collapsed="false"/>
    <row r="3624" customFormat="false" ht="15" hidden="false" customHeight="false" outlineLevel="0" collapsed="false"/>
    <row r="3625" customFormat="false" ht="15" hidden="false" customHeight="false" outlineLevel="0" collapsed="false"/>
    <row r="3626" customFormat="false" ht="15" hidden="false" customHeight="false" outlineLevel="0" collapsed="false"/>
    <row r="3627" customFormat="false" ht="15" hidden="false" customHeight="false" outlineLevel="0" collapsed="false"/>
    <row r="3628" customFormat="false" ht="15" hidden="false" customHeight="false" outlineLevel="0" collapsed="false"/>
    <row r="3629" customFormat="false" ht="15" hidden="false" customHeight="false" outlineLevel="0" collapsed="false"/>
    <row r="3630" customFormat="false" ht="15" hidden="false" customHeight="false" outlineLevel="0" collapsed="false"/>
    <row r="3631" customFormat="false" ht="15" hidden="false" customHeight="false" outlineLevel="0" collapsed="false"/>
    <row r="3632" customFormat="false" ht="15" hidden="false" customHeight="false" outlineLevel="0" collapsed="false"/>
    <row r="3633" customFormat="false" ht="15" hidden="false" customHeight="false" outlineLevel="0" collapsed="false"/>
    <row r="3634" customFormat="false" ht="15" hidden="false" customHeight="false" outlineLevel="0" collapsed="false"/>
    <row r="3635" customFormat="false" ht="15" hidden="false" customHeight="false" outlineLevel="0" collapsed="false"/>
    <row r="3636" customFormat="false" ht="15" hidden="false" customHeight="false" outlineLevel="0" collapsed="false"/>
    <row r="3637" customFormat="false" ht="15" hidden="false" customHeight="false" outlineLevel="0" collapsed="false"/>
    <row r="3638" customFormat="false" ht="15" hidden="false" customHeight="false" outlineLevel="0" collapsed="false"/>
    <row r="3639" customFormat="false" ht="15" hidden="false" customHeight="false" outlineLevel="0" collapsed="false"/>
    <row r="3640" customFormat="false" ht="15" hidden="false" customHeight="false" outlineLevel="0" collapsed="false"/>
    <row r="3641" customFormat="false" ht="15" hidden="false" customHeight="false" outlineLevel="0" collapsed="false"/>
    <row r="3642" customFormat="false" ht="15" hidden="false" customHeight="false" outlineLevel="0" collapsed="false"/>
    <row r="3643" customFormat="false" ht="15" hidden="false" customHeight="false" outlineLevel="0" collapsed="false"/>
    <row r="3644" customFormat="false" ht="15" hidden="false" customHeight="false" outlineLevel="0" collapsed="false"/>
    <row r="3645" customFormat="false" ht="15" hidden="false" customHeight="false" outlineLevel="0" collapsed="false"/>
    <row r="3646" customFormat="false" ht="15" hidden="false" customHeight="false" outlineLevel="0" collapsed="false"/>
    <row r="3647" customFormat="false" ht="15" hidden="false" customHeight="false" outlineLevel="0" collapsed="false"/>
    <row r="3648" customFormat="false" ht="15" hidden="false" customHeight="false" outlineLevel="0" collapsed="false"/>
    <row r="3649" customFormat="false" ht="15" hidden="false" customHeight="false" outlineLevel="0" collapsed="false"/>
    <row r="3650" customFormat="false" ht="15" hidden="false" customHeight="false" outlineLevel="0" collapsed="false"/>
    <row r="3651" customFormat="false" ht="15" hidden="false" customHeight="false" outlineLevel="0" collapsed="false"/>
    <row r="3652" customFormat="false" ht="15" hidden="false" customHeight="false" outlineLevel="0" collapsed="false"/>
    <row r="3653" customFormat="false" ht="15" hidden="false" customHeight="false" outlineLevel="0" collapsed="false"/>
    <row r="3654" customFormat="false" ht="15" hidden="false" customHeight="false" outlineLevel="0" collapsed="false"/>
    <row r="3655" customFormat="false" ht="15" hidden="false" customHeight="false" outlineLevel="0" collapsed="false"/>
    <row r="3656" customFormat="false" ht="15" hidden="false" customHeight="false" outlineLevel="0" collapsed="false"/>
    <row r="3657" customFormat="false" ht="15" hidden="false" customHeight="false" outlineLevel="0" collapsed="false"/>
    <row r="3658" customFormat="false" ht="15" hidden="false" customHeight="false" outlineLevel="0" collapsed="false"/>
    <row r="3659" customFormat="false" ht="15" hidden="false" customHeight="false" outlineLevel="0" collapsed="false"/>
    <row r="3660" customFormat="false" ht="15" hidden="false" customHeight="false" outlineLevel="0" collapsed="false"/>
    <row r="3661" customFormat="false" ht="15" hidden="false" customHeight="false" outlineLevel="0" collapsed="false"/>
    <row r="3662" customFormat="false" ht="15" hidden="false" customHeight="false" outlineLevel="0" collapsed="false"/>
    <row r="3663" customFormat="false" ht="15" hidden="false" customHeight="false" outlineLevel="0" collapsed="false"/>
    <row r="3664" customFormat="false" ht="15" hidden="false" customHeight="false" outlineLevel="0" collapsed="false"/>
    <row r="3665" customFormat="false" ht="15" hidden="false" customHeight="false" outlineLevel="0" collapsed="false"/>
    <row r="3666" customFormat="false" ht="15" hidden="false" customHeight="false" outlineLevel="0" collapsed="false"/>
    <row r="3667" customFormat="false" ht="15" hidden="false" customHeight="false" outlineLevel="0" collapsed="false"/>
    <row r="3668" customFormat="false" ht="15" hidden="false" customHeight="false" outlineLevel="0" collapsed="false"/>
    <row r="3669" customFormat="false" ht="15" hidden="false" customHeight="false" outlineLevel="0" collapsed="false"/>
    <row r="3670" customFormat="false" ht="15" hidden="false" customHeight="false" outlineLevel="0" collapsed="false"/>
    <row r="3671" customFormat="false" ht="15" hidden="false" customHeight="false" outlineLevel="0" collapsed="false"/>
    <row r="3672" customFormat="false" ht="15" hidden="false" customHeight="false" outlineLevel="0" collapsed="false"/>
    <row r="3673" customFormat="false" ht="15" hidden="false" customHeight="false" outlineLevel="0" collapsed="false"/>
    <row r="3674" customFormat="false" ht="15" hidden="false" customHeight="false" outlineLevel="0" collapsed="false"/>
    <row r="3675" customFormat="false" ht="15" hidden="false" customHeight="false" outlineLevel="0" collapsed="false"/>
    <row r="3676" customFormat="false" ht="15" hidden="false" customHeight="false" outlineLevel="0" collapsed="false"/>
    <row r="3677" customFormat="false" ht="15" hidden="false" customHeight="false" outlineLevel="0" collapsed="false"/>
    <row r="3678" customFormat="false" ht="15" hidden="false" customHeight="false" outlineLevel="0" collapsed="false"/>
    <row r="3679" customFormat="false" ht="15" hidden="false" customHeight="false" outlineLevel="0" collapsed="false"/>
    <row r="3680" customFormat="false" ht="15" hidden="false" customHeight="false" outlineLevel="0" collapsed="false"/>
    <row r="3681" customFormat="false" ht="15" hidden="false" customHeight="false" outlineLevel="0" collapsed="false"/>
    <row r="3682" customFormat="false" ht="15" hidden="false" customHeight="false" outlineLevel="0" collapsed="false"/>
    <row r="3683" customFormat="false" ht="15" hidden="false" customHeight="false" outlineLevel="0" collapsed="false"/>
    <row r="3684" customFormat="false" ht="15" hidden="false" customHeight="false" outlineLevel="0" collapsed="false"/>
    <row r="3685" customFormat="false" ht="15" hidden="false" customHeight="false" outlineLevel="0" collapsed="false"/>
    <row r="3686" customFormat="false" ht="15" hidden="false" customHeight="false" outlineLevel="0" collapsed="false"/>
    <row r="3687" customFormat="false" ht="15" hidden="false" customHeight="false" outlineLevel="0" collapsed="false"/>
    <row r="3688" customFormat="false" ht="15" hidden="false" customHeight="false" outlineLevel="0" collapsed="false"/>
    <row r="3689" customFormat="false" ht="15" hidden="false" customHeight="false" outlineLevel="0" collapsed="false"/>
    <row r="3690" customFormat="false" ht="15" hidden="false" customHeight="false" outlineLevel="0" collapsed="false"/>
    <row r="3691" customFormat="false" ht="15" hidden="false" customHeight="false" outlineLevel="0" collapsed="false"/>
    <row r="3692" customFormat="false" ht="15" hidden="false" customHeight="false" outlineLevel="0" collapsed="false"/>
    <row r="3693" customFormat="false" ht="15" hidden="false" customHeight="false" outlineLevel="0" collapsed="false"/>
    <row r="3694" customFormat="false" ht="15" hidden="false" customHeight="false" outlineLevel="0" collapsed="false"/>
    <row r="3695" customFormat="false" ht="15" hidden="false" customHeight="false" outlineLevel="0" collapsed="false"/>
    <row r="3696" customFormat="false" ht="15" hidden="false" customHeight="false" outlineLevel="0" collapsed="false"/>
    <row r="3697" customFormat="false" ht="15" hidden="false" customHeight="false" outlineLevel="0" collapsed="false"/>
    <row r="3698" customFormat="false" ht="15" hidden="false" customHeight="false" outlineLevel="0" collapsed="false"/>
    <row r="3699" customFormat="false" ht="15" hidden="false" customHeight="false" outlineLevel="0" collapsed="false"/>
    <row r="3700" customFormat="false" ht="15" hidden="false" customHeight="false" outlineLevel="0" collapsed="false"/>
    <row r="3701" customFormat="false" ht="15" hidden="false" customHeight="false" outlineLevel="0" collapsed="false"/>
    <row r="3702" customFormat="false" ht="15" hidden="false" customHeight="false" outlineLevel="0" collapsed="false"/>
    <row r="3703" customFormat="false" ht="15" hidden="false" customHeight="false" outlineLevel="0" collapsed="false"/>
    <row r="3704" customFormat="false" ht="15" hidden="false" customHeight="false" outlineLevel="0" collapsed="false"/>
    <row r="3705" customFormat="false" ht="15" hidden="false" customHeight="false" outlineLevel="0" collapsed="false"/>
    <row r="3706" customFormat="false" ht="15" hidden="false" customHeight="false" outlineLevel="0" collapsed="false"/>
    <row r="3707" customFormat="false" ht="15" hidden="false" customHeight="false" outlineLevel="0" collapsed="false"/>
    <row r="3708" customFormat="false" ht="15" hidden="false" customHeight="false" outlineLevel="0" collapsed="false"/>
    <row r="3709" customFormat="false" ht="15" hidden="false" customHeight="false" outlineLevel="0" collapsed="false"/>
    <row r="3710" customFormat="false" ht="15" hidden="false" customHeight="false" outlineLevel="0" collapsed="false"/>
    <row r="3711" customFormat="false" ht="15" hidden="false" customHeight="false" outlineLevel="0" collapsed="false"/>
    <row r="3712" customFormat="false" ht="15" hidden="false" customHeight="false" outlineLevel="0" collapsed="false"/>
    <row r="3713" customFormat="false" ht="15" hidden="false" customHeight="false" outlineLevel="0" collapsed="false"/>
    <row r="3714" customFormat="false" ht="15" hidden="false" customHeight="false" outlineLevel="0" collapsed="false"/>
    <row r="3715" customFormat="false" ht="15" hidden="false" customHeight="false" outlineLevel="0" collapsed="false"/>
    <row r="3716" customFormat="false" ht="15" hidden="false" customHeight="false" outlineLevel="0" collapsed="false"/>
    <row r="3717" customFormat="false" ht="15" hidden="false" customHeight="false" outlineLevel="0" collapsed="false"/>
    <row r="3718" customFormat="false" ht="15" hidden="false" customHeight="false" outlineLevel="0" collapsed="false"/>
    <row r="3719" customFormat="false" ht="15" hidden="false" customHeight="false" outlineLevel="0" collapsed="false"/>
    <row r="3720" customFormat="false" ht="15" hidden="false" customHeight="false" outlineLevel="0" collapsed="false"/>
    <row r="3721" customFormat="false" ht="15" hidden="false" customHeight="false" outlineLevel="0" collapsed="false"/>
    <row r="3722" customFormat="false" ht="15" hidden="false" customHeight="false" outlineLevel="0" collapsed="false"/>
    <row r="3723" customFormat="false" ht="15" hidden="false" customHeight="false" outlineLevel="0" collapsed="false"/>
    <row r="3724" customFormat="false" ht="15" hidden="false" customHeight="false" outlineLevel="0" collapsed="false"/>
    <row r="3725" customFormat="false" ht="15" hidden="false" customHeight="false" outlineLevel="0" collapsed="false"/>
    <row r="3726" customFormat="false" ht="15" hidden="false" customHeight="false" outlineLevel="0" collapsed="false"/>
    <row r="3727" customFormat="false" ht="15" hidden="false" customHeight="false" outlineLevel="0" collapsed="false"/>
    <row r="3728" customFormat="false" ht="15" hidden="false" customHeight="false" outlineLevel="0" collapsed="false"/>
    <row r="3729" customFormat="false" ht="15" hidden="false" customHeight="false" outlineLevel="0" collapsed="false"/>
    <row r="3730" customFormat="false" ht="15" hidden="false" customHeight="false" outlineLevel="0" collapsed="false"/>
    <row r="3731" customFormat="false" ht="15" hidden="false" customHeight="false" outlineLevel="0" collapsed="false"/>
    <row r="3732" customFormat="false" ht="15" hidden="false" customHeight="false" outlineLevel="0" collapsed="false"/>
    <row r="3733" customFormat="false" ht="15" hidden="false" customHeight="false" outlineLevel="0" collapsed="false"/>
    <row r="3734" customFormat="false" ht="15" hidden="false" customHeight="false" outlineLevel="0" collapsed="false"/>
    <row r="3735" customFormat="false" ht="15" hidden="false" customHeight="false" outlineLevel="0" collapsed="false"/>
    <row r="3736" customFormat="false" ht="15" hidden="false" customHeight="false" outlineLevel="0" collapsed="false"/>
    <row r="3737" customFormat="false" ht="15" hidden="false" customHeight="false" outlineLevel="0" collapsed="false"/>
    <row r="3738" customFormat="false" ht="15" hidden="false" customHeight="false" outlineLevel="0" collapsed="false"/>
    <row r="3739" customFormat="false" ht="15" hidden="false" customHeight="false" outlineLevel="0" collapsed="false"/>
    <row r="3740" customFormat="false" ht="15" hidden="false" customHeight="false" outlineLevel="0" collapsed="false"/>
    <row r="3741" customFormat="false" ht="15" hidden="false" customHeight="false" outlineLevel="0" collapsed="false"/>
    <row r="3742" customFormat="false" ht="15" hidden="false" customHeight="false" outlineLevel="0" collapsed="false"/>
    <row r="3743" customFormat="false" ht="15" hidden="false" customHeight="false" outlineLevel="0" collapsed="false"/>
    <row r="3744" customFormat="false" ht="15" hidden="false" customHeight="false" outlineLevel="0" collapsed="false"/>
    <row r="3745" customFormat="false" ht="15" hidden="false" customHeight="false" outlineLevel="0" collapsed="false"/>
    <row r="3746" customFormat="false" ht="15" hidden="false" customHeight="false" outlineLevel="0" collapsed="false"/>
    <row r="3747" customFormat="false" ht="15" hidden="false" customHeight="false" outlineLevel="0" collapsed="false"/>
    <row r="3748" customFormat="false" ht="15" hidden="false" customHeight="false" outlineLevel="0" collapsed="false"/>
    <row r="3749" customFormat="false" ht="15" hidden="false" customHeight="false" outlineLevel="0" collapsed="false"/>
    <row r="3750" customFormat="false" ht="15" hidden="false" customHeight="false" outlineLevel="0" collapsed="false"/>
    <row r="3751" customFormat="false" ht="15" hidden="false" customHeight="false" outlineLevel="0" collapsed="false"/>
    <row r="3752" customFormat="false" ht="15" hidden="false" customHeight="false" outlineLevel="0" collapsed="false"/>
    <row r="3753" customFormat="false" ht="15" hidden="false" customHeight="false" outlineLevel="0" collapsed="false"/>
    <row r="3754" customFormat="false" ht="15" hidden="false" customHeight="false" outlineLevel="0" collapsed="false"/>
    <row r="3755" customFormat="false" ht="15" hidden="false" customHeight="false" outlineLevel="0" collapsed="false"/>
    <row r="3756" customFormat="false" ht="15" hidden="false" customHeight="false" outlineLevel="0" collapsed="false"/>
    <row r="3757" customFormat="false" ht="15" hidden="false" customHeight="false" outlineLevel="0" collapsed="false"/>
    <row r="3758" customFormat="false" ht="15" hidden="false" customHeight="false" outlineLevel="0" collapsed="false"/>
    <row r="3759" customFormat="false" ht="15" hidden="false" customHeight="false" outlineLevel="0" collapsed="false"/>
    <row r="3760" customFormat="false" ht="15" hidden="false" customHeight="false" outlineLevel="0" collapsed="false"/>
    <row r="3761" customFormat="false" ht="15" hidden="false" customHeight="false" outlineLevel="0" collapsed="false"/>
    <row r="3762" customFormat="false" ht="15" hidden="false" customHeight="false" outlineLevel="0" collapsed="false"/>
    <row r="3763" customFormat="false" ht="15" hidden="false" customHeight="false" outlineLevel="0" collapsed="false"/>
    <row r="3764" customFormat="false" ht="15" hidden="false" customHeight="false" outlineLevel="0" collapsed="false"/>
    <row r="3765" customFormat="false" ht="15" hidden="false" customHeight="false" outlineLevel="0" collapsed="false"/>
    <row r="3766" customFormat="false" ht="15" hidden="false" customHeight="false" outlineLevel="0" collapsed="false"/>
    <row r="3767" customFormat="false" ht="15" hidden="false" customHeight="false" outlineLevel="0" collapsed="false"/>
    <row r="3768" customFormat="false" ht="15" hidden="false" customHeight="false" outlineLevel="0" collapsed="false"/>
    <row r="3769" customFormat="false" ht="15" hidden="false" customHeight="false" outlineLevel="0" collapsed="false"/>
    <row r="3770" customFormat="false" ht="15" hidden="false" customHeight="false" outlineLevel="0" collapsed="false"/>
    <row r="3771" customFormat="false" ht="15" hidden="false" customHeight="false" outlineLevel="0" collapsed="false"/>
    <row r="3772" customFormat="false" ht="15" hidden="false" customHeight="false" outlineLevel="0" collapsed="false"/>
    <row r="3773" customFormat="false" ht="15" hidden="false" customHeight="false" outlineLevel="0" collapsed="false"/>
    <row r="3774" customFormat="false" ht="15" hidden="false" customHeight="false" outlineLevel="0" collapsed="false"/>
    <row r="3775" customFormat="false" ht="15" hidden="false" customHeight="false" outlineLevel="0" collapsed="false"/>
    <row r="3776" customFormat="false" ht="15" hidden="false" customHeight="false" outlineLevel="0" collapsed="false"/>
    <row r="3777" customFormat="false" ht="15" hidden="false" customHeight="false" outlineLevel="0" collapsed="false"/>
    <row r="3778" customFormat="false" ht="15" hidden="false" customHeight="false" outlineLevel="0" collapsed="false"/>
    <row r="3779" customFormat="false" ht="15" hidden="false" customHeight="false" outlineLevel="0" collapsed="false"/>
    <row r="3780" customFormat="false" ht="15" hidden="false" customHeight="false" outlineLevel="0" collapsed="false"/>
    <row r="3781" customFormat="false" ht="15" hidden="false" customHeight="false" outlineLevel="0" collapsed="false"/>
    <row r="3782" customFormat="false" ht="15" hidden="false" customHeight="false" outlineLevel="0" collapsed="false"/>
    <row r="3783" customFormat="false" ht="15" hidden="false" customHeight="false" outlineLevel="0" collapsed="false"/>
    <row r="3784" customFormat="false" ht="15" hidden="false" customHeight="false" outlineLevel="0" collapsed="false"/>
    <row r="3785" customFormat="false" ht="15" hidden="false" customHeight="false" outlineLevel="0" collapsed="false"/>
    <row r="3786" customFormat="false" ht="15" hidden="false" customHeight="false" outlineLevel="0" collapsed="false"/>
    <row r="3787" customFormat="false" ht="15" hidden="false" customHeight="false" outlineLevel="0" collapsed="false"/>
    <row r="3788" customFormat="false" ht="15" hidden="false" customHeight="false" outlineLevel="0" collapsed="false"/>
    <row r="3789" customFormat="false" ht="15" hidden="false" customHeight="false" outlineLevel="0" collapsed="false"/>
    <row r="3790" customFormat="false" ht="15" hidden="false" customHeight="false" outlineLevel="0" collapsed="false"/>
    <row r="3791" customFormat="false" ht="15" hidden="false" customHeight="false" outlineLevel="0" collapsed="false"/>
    <row r="3792" customFormat="false" ht="15" hidden="false" customHeight="false" outlineLevel="0" collapsed="false"/>
    <row r="3793" customFormat="false" ht="15" hidden="false" customHeight="false" outlineLevel="0" collapsed="false"/>
    <row r="3794" customFormat="false" ht="15" hidden="false" customHeight="false" outlineLevel="0" collapsed="false"/>
    <row r="3795" customFormat="false" ht="15" hidden="false" customHeight="false" outlineLevel="0" collapsed="false"/>
    <row r="3796" customFormat="false" ht="15" hidden="false" customHeight="false" outlineLevel="0" collapsed="false"/>
    <row r="3797" customFormat="false" ht="15" hidden="false" customHeight="false" outlineLevel="0" collapsed="false"/>
    <row r="3798" customFormat="false" ht="15" hidden="false" customHeight="false" outlineLevel="0" collapsed="false"/>
    <row r="3799" customFormat="false" ht="15" hidden="false" customHeight="false" outlineLevel="0" collapsed="false"/>
    <row r="3800" customFormat="false" ht="15" hidden="false" customHeight="false" outlineLevel="0" collapsed="false"/>
    <row r="3801" customFormat="false" ht="15" hidden="false" customHeight="false" outlineLevel="0" collapsed="false"/>
    <row r="3802" customFormat="false" ht="15" hidden="false" customHeight="false" outlineLevel="0" collapsed="false"/>
    <row r="3803" customFormat="false" ht="15" hidden="false" customHeight="false" outlineLevel="0" collapsed="false"/>
    <row r="3804" customFormat="false" ht="15" hidden="false" customHeight="false" outlineLevel="0" collapsed="false"/>
    <row r="3805" customFormat="false" ht="15" hidden="false" customHeight="false" outlineLevel="0" collapsed="false"/>
    <row r="3806" customFormat="false" ht="15" hidden="false" customHeight="false" outlineLevel="0" collapsed="false"/>
    <row r="3807" customFormat="false" ht="15" hidden="false" customHeight="false" outlineLevel="0" collapsed="false"/>
    <row r="3808" customFormat="false" ht="15" hidden="false" customHeight="false" outlineLevel="0" collapsed="false"/>
    <row r="3809" customFormat="false" ht="15" hidden="false" customHeight="false" outlineLevel="0" collapsed="false"/>
    <row r="3810" customFormat="false" ht="15" hidden="false" customHeight="false" outlineLevel="0" collapsed="false"/>
    <row r="3811" customFormat="false" ht="15" hidden="false" customHeight="false" outlineLevel="0" collapsed="false"/>
    <row r="3812" customFormat="false" ht="15" hidden="false" customHeight="false" outlineLevel="0" collapsed="false"/>
    <row r="3813" customFormat="false" ht="15" hidden="false" customHeight="false" outlineLevel="0" collapsed="false"/>
    <row r="3814" customFormat="false" ht="15" hidden="false" customHeight="false" outlineLevel="0" collapsed="false"/>
    <row r="3815" customFormat="false" ht="15" hidden="false" customHeight="false" outlineLevel="0" collapsed="false"/>
    <row r="3816" customFormat="false" ht="15" hidden="false" customHeight="false" outlineLevel="0" collapsed="false"/>
    <row r="3817" customFormat="false" ht="15" hidden="false" customHeight="false" outlineLevel="0" collapsed="false"/>
    <row r="3818" customFormat="false" ht="15" hidden="false" customHeight="false" outlineLevel="0" collapsed="false"/>
    <row r="3819" customFormat="false" ht="15" hidden="false" customHeight="false" outlineLevel="0" collapsed="false"/>
    <row r="3820" customFormat="false" ht="15" hidden="false" customHeight="false" outlineLevel="0" collapsed="false"/>
    <row r="3821" customFormat="false" ht="15" hidden="false" customHeight="false" outlineLevel="0" collapsed="false"/>
    <row r="3822" customFormat="false" ht="15" hidden="false" customHeight="false" outlineLevel="0" collapsed="false"/>
    <row r="3823" customFormat="false" ht="15" hidden="false" customHeight="false" outlineLevel="0" collapsed="false"/>
    <row r="3824" customFormat="false" ht="15" hidden="false" customHeight="false" outlineLevel="0" collapsed="false"/>
    <row r="3825" customFormat="false" ht="15" hidden="false" customHeight="false" outlineLevel="0" collapsed="false"/>
    <row r="3826" customFormat="false" ht="15" hidden="false" customHeight="false" outlineLevel="0" collapsed="false"/>
    <row r="3827" customFormat="false" ht="15" hidden="false" customHeight="false" outlineLevel="0" collapsed="false"/>
    <row r="3828" customFormat="false" ht="15" hidden="false" customHeight="false" outlineLevel="0" collapsed="false"/>
    <row r="3829" customFormat="false" ht="15" hidden="false" customHeight="false" outlineLevel="0" collapsed="false"/>
    <row r="3830" customFormat="false" ht="15" hidden="false" customHeight="false" outlineLevel="0" collapsed="false"/>
    <row r="3831" customFormat="false" ht="15" hidden="false" customHeight="false" outlineLevel="0" collapsed="false"/>
    <row r="3832" customFormat="false" ht="15" hidden="false" customHeight="false" outlineLevel="0" collapsed="false"/>
    <row r="3833" customFormat="false" ht="15" hidden="false" customHeight="false" outlineLevel="0" collapsed="false"/>
    <row r="3834" customFormat="false" ht="15" hidden="false" customHeight="false" outlineLevel="0" collapsed="false"/>
    <row r="3835" customFormat="false" ht="15" hidden="false" customHeight="false" outlineLevel="0" collapsed="false"/>
    <row r="3836" customFormat="false" ht="15" hidden="false" customHeight="false" outlineLevel="0" collapsed="false"/>
    <row r="3837" customFormat="false" ht="15" hidden="false" customHeight="false" outlineLevel="0" collapsed="false"/>
    <row r="3838" customFormat="false" ht="15" hidden="false" customHeight="false" outlineLevel="0" collapsed="false"/>
    <row r="3839" customFormat="false" ht="15" hidden="false" customHeight="false" outlineLevel="0" collapsed="false"/>
    <row r="3840" customFormat="false" ht="15" hidden="false" customHeight="false" outlineLevel="0" collapsed="false"/>
    <row r="3841" customFormat="false" ht="15" hidden="false" customHeight="false" outlineLevel="0" collapsed="false"/>
    <row r="3842" customFormat="false" ht="15" hidden="false" customHeight="false" outlineLevel="0" collapsed="false"/>
    <row r="3843" customFormat="false" ht="15" hidden="false" customHeight="false" outlineLevel="0" collapsed="false"/>
    <row r="3844" customFormat="false" ht="15" hidden="false" customHeight="false" outlineLevel="0" collapsed="false"/>
    <row r="3845" customFormat="false" ht="15" hidden="false" customHeight="false" outlineLevel="0" collapsed="false"/>
    <row r="3846" customFormat="false" ht="15" hidden="false" customHeight="false" outlineLevel="0" collapsed="false"/>
    <row r="3847" customFormat="false" ht="15" hidden="false" customHeight="false" outlineLevel="0" collapsed="false"/>
    <row r="3848" customFormat="false" ht="15" hidden="false" customHeight="false" outlineLevel="0" collapsed="false"/>
    <row r="3849" customFormat="false" ht="15" hidden="false" customHeight="false" outlineLevel="0" collapsed="false"/>
    <row r="3850" customFormat="false" ht="15" hidden="false" customHeight="false" outlineLevel="0" collapsed="false"/>
    <row r="3851" customFormat="false" ht="15" hidden="false" customHeight="false" outlineLevel="0" collapsed="false"/>
    <row r="3852" customFormat="false" ht="15" hidden="false" customHeight="false" outlineLevel="0" collapsed="false"/>
    <row r="3853" customFormat="false" ht="15" hidden="false" customHeight="false" outlineLevel="0" collapsed="false"/>
    <row r="3854" customFormat="false" ht="15" hidden="false" customHeight="false" outlineLevel="0" collapsed="false"/>
    <row r="3855" customFormat="false" ht="15" hidden="false" customHeight="false" outlineLevel="0" collapsed="false"/>
    <row r="3856" customFormat="false" ht="15" hidden="false" customHeight="false" outlineLevel="0" collapsed="false"/>
    <row r="3857" customFormat="false" ht="15" hidden="false" customHeight="false" outlineLevel="0" collapsed="false"/>
    <row r="3858" customFormat="false" ht="15" hidden="false" customHeight="false" outlineLevel="0" collapsed="false"/>
    <row r="3859" customFormat="false" ht="15" hidden="false" customHeight="false" outlineLevel="0" collapsed="false"/>
    <row r="3860" customFormat="false" ht="15" hidden="false" customHeight="false" outlineLevel="0" collapsed="false"/>
    <row r="3861" customFormat="false" ht="15" hidden="false" customHeight="false" outlineLevel="0" collapsed="false"/>
    <row r="3862" customFormat="false" ht="15" hidden="false" customHeight="false" outlineLevel="0" collapsed="false"/>
    <row r="3863" customFormat="false" ht="15" hidden="false" customHeight="false" outlineLevel="0" collapsed="false"/>
    <row r="3864" customFormat="false" ht="15" hidden="false" customHeight="false" outlineLevel="0" collapsed="false"/>
    <row r="3865" customFormat="false" ht="15" hidden="false" customHeight="false" outlineLevel="0" collapsed="false"/>
    <row r="3866" customFormat="false" ht="15" hidden="false" customHeight="false" outlineLevel="0" collapsed="false"/>
    <row r="3867" customFormat="false" ht="15" hidden="false" customHeight="false" outlineLevel="0" collapsed="false"/>
    <row r="3868" customFormat="false" ht="15" hidden="false" customHeight="false" outlineLevel="0" collapsed="false"/>
    <row r="3869" customFormat="false" ht="15" hidden="false" customHeight="false" outlineLevel="0" collapsed="false"/>
    <row r="3870" customFormat="false" ht="15" hidden="false" customHeight="false" outlineLevel="0" collapsed="false"/>
    <row r="3871" customFormat="false" ht="15" hidden="false" customHeight="false" outlineLevel="0" collapsed="false"/>
    <row r="3872" customFormat="false" ht="15" hidden="false" customHeight="false" outlineLevel="0" collapsed="false"/>
    <row r="3873" customFormat="false" ht="15" hidden="false" customHeight="false" outlineLevel="0" collapsed="false"/>
    <row r="3874" customFormat="false" ht="15" hidden="false" customHeight="false" outlineLevel="0" collapsed="false"/>
    <row r="3875" customFormat="false" ht="15" hidden="false" customHeight="false" outlineLevel="0" collapsed="false"/>
    <row r="3876" customFormat="false" ht="15" hidden="false" customHeight="false" outlineLevel="0" collapsed="false"/>
    <row r="3877" customFormat="false" ht="15" hidden="false" customHeight="false" outlineLevel="0" collapsed="false"/>
    <row r="3878" customFormat="false" ht="15" hidden="false" customHeight="false" outlineLevel="0" collapsed="false"/>
    <row r="3879" customFormat="false" ht="15" hidden="false" customHeight="false" outlineLevel="0" collapsed="false"/>
    <row r="3880" customFormat="false" ht="15" hidden="false" customHeight="false" outlineLevel="0" collapsed="false"/>
    <row r="3881" customFormat="false" ht="15" hidden="false" customHeight="false" outlineLevel="0" collapsed="false"/>
    <row r="3882" customFormat="false" ht="15" hidden="false" customHeight="false" outlineLevel="0" collapsed="false"/>
    <row r="3883" customFormat="false" ht="15" hidden="false" customHeight="false" outlineLevel="0" collapsed="false"/>
    <row r="3884" customFormat="false" ht="15" hidden="false" customHeight="false" outlineLevel="0" collapsed="false"/>
    <row r="3885" customFormat="false" ht="15" hidden="false" customHeight="false" outlineLevel="0" collapsed="false"/>
    <row r="3886" customFormat="false" ht="15" hidden="false" customHeight="false" outlineLevel="0" collapsed="false"/>
    <row r="3887" customFormat="false" ht="15" hidden="false" customHeight="false" outlineLevel="0" collapsed="false"/>
    <row r="3888" customFormat="false" ht="15" hidden="false" customHeight="false" outlineLevel="0" collapsed="false"/>
    <row r="3889" customFormat="false" ht="15" hidden="false" customHeight="false" outlineLevel="0" collapsed="false"/>
    <row r="3890" customFormat="false" ht="15" hidden="false" customHeight="false" outlineLevel="0" collapsed="false"/>
    <row r="3891" customFormat="false" ht="15" hidden="false" customHeight="false" outlineLevel="0" collapsed="false"/>
    <row r="3892" customFormat="false" ht="15" hidden="false" customHeight="false" outlineLevel="0" collapsed="false"/>
    <row r="3893" customFormat="false" ht="15" hidden="false" customHeight="false" outlineLevel="0" collapsed="false"/>
    <row r="3894" customFormat="false" ht="15" hidden="false" customHeight="false" outlineLevel="0" collapsed="false"/>
    <row r="3895" customFormat="false" ht="15" hidden="false" customHeight="false" outlineLevel="0" collapsed="false"/>
    <row r="3896" customFormat="false" ht="15" hidden="false" customHeight="false" outlineLevel="0" collapsed="false"/>
    <row r="3897" customFormat="false" ht="15" hidden="false" customHeight="false" outlineLevel="0" collapsed="false"/>
    <row r="3898" customFormat="false" ht="15" hidden="false" customHeight="false" outlineLevel="0" collapsed="false"/>
    <row r="3899" customFormat="false" ht="15" hidden="false" customHeight="false" outlineLevel="0" collapsed="false"/>
    <row r="3900" customFormat="false" ht="15" hidden="false" customHeight="false" outlineLevel="0" collapsed="false"/>
    <row r="3901" customFormat="false" ht="15" hidden="false" customHeight="false" outlineLevel="0" collapsed="false"/>
    <row r="3902" customFormat="false" ht="15" hidden="false" customHeight="false" outlineLevel="0" collapsed="false"/>
    <row r="3903" customFormat="false" ht="15" hidden="false" customHeight="false" outlineLevel="0" collapsed="false"/>
    <row r="3904" customFormat="false" ht="15" hidden="false" customHeight="false" outlineLevel="0" collapsed="false"/>
    <row r="3905" customFormat="false" ht="15" hidden="false" customHeight="false" outlineLevel="0" collapsed="false"/>
    <row r="3906" customFormat="false" ht="15" hidden="false" customHeight="false" outlineLevel="0" collapsed="false"/>
    <row r="3907" customFormat="false" ht="15" hidden="false" customHeight="false" outlineLevel="0" collapsed="false"/>
    <row r="3908" customFormat="false" ht="15" hidden="false" customHeight="false" outlineLevel="0" collapsed="false"/>
    <row r="3909" customFormat="false" ht="15" hidden="false" customHeight="false" outlineLevel="0" collapsed="false"/>
    <row r="3910" customFormat="false" ht="15" hidden="false" customHeight="false" outlineLevel="0" collapsed="false"/>
    <row r="3911" customFormat="false" ht="15" hidden="false" customHeight="false" outlineLevel="0" collapsed="false"/>
    <row r="3912" customFormat="false" ht="15" hidden="false" customHeight="false" outlineLevel="0" collapsed="false"/>
    <row r="3913" customFormat="false" ht="15" hidden="false" customHeight="false" outlineLevel="0" collapsed="false"/>
    <row r="3914" customFormat="false" ht="15" hidden="false" customHeight="false" outlineLevel="0" collapsed="false"/>
    <row r="3915" customFormat="false" ht="15" hidden="false" customHeight="false" outlineLevel="0" collapsed="false"/>
    <row r="3916" customFormat="false" ht="15" hidden="false" customHeight="false" outlineLevel="0" collapsed="false"/>
    <row r="3917" customFormat="false" ht="15" hidden="false" customHeight="false" outlineLevel="0" collapsed="false"/>
    <row r="3918" customFormat="false" ht="15" hidden="false" customHeight="false" outlineLevel="0" collapsed="false"/>
    <row r="3919" customFormat="false" ht="15" hidden="false" customHeight="false" outlineLevel="0" collapsed="false"/>
    <row r="3920" customFormat="false" ht="15" hidden="false" customHeight="false" outlineLevel="0" collapsed="false"/>
    <row r="3921" customFormat="false" ht="15" hidden="false" customHeight="false" outlineLevel="0" collapsed="false"/>
    <row r="3922" customFormat="false" ht="15" hidden="false" customHeight="false" outlineLevel="0" collapsed="false"/>
    <row r="3923" customFormat="false" ht="15" hidden="false" customHeight="false" outlineLevel="0" collapsed="false"/>
    <row r="3924" customFormat="false" ht="15" hidden="false" customHeight="false" outlineLevel="0" collapsed="false"/>
    <row r="3925" customFormat="false" ht="15" hidden="false" customHeight="false" outlineLevel="0" collapsed="false"/>
    <row r="3926" customFormat="false" ht="15" hidden="false" customHeight="false" outlineLevel="0" collapsed="false"/>
    <row r="3927" customFormat="false" ht="15" hidden="false" customHeight="false" outlineLevel="0" collapsed="false"/>
    <row r="3928" customFormat="false" ht="15" hidden="false" customHeight="false" outlineLevel="0" collapsed="false"/>
    <row r="3929" customFormat="false" ht="15" hidden="false" customHeight="false" outlineLevel="0" collapsed="false"/>
    <row r="3930" customFormat="false" ht="15" hidden="false" customHeight="false" outlineLevel="0" collapsed="false"/>
    <row r="3931" customFormat="false" ht="15" hidden="false" customHeight="false" outlineLevel="0" collapsed="false"/>
    <row r="3932" customFormat="false" ht="15" hidden="false" customHeight="false" outlineLevel="0" collapsed="false"/>
    <row r="3933" customFormat="false" ht="15" hidden="false" customHeight="false" outlineLevel="0" collapsed="false"/>
    <row r="3934" customFormat="false" ht="15" hidden="false" customHeight="false" outlineLevel="0" collapsed="false"/>
    <row r="3935" customFormat="false" ht="15" hidden="false" customHeight="false" outlineLevel="0" collapsed="false"/>
    <row r="3936" customFormat="false" ht="15" hidden="false" customHeight="false" outlineLevel="0" collapsed="false"/>
    <row r="3937" customFormat="false" ht="15" hidden="false" customHeight="false" outlineLevel="0" collapsed="false"/>
    <row r="3938" customFormat="false" ht="15" hidden="false" customHeight="false" outlineLevel="0" collapsed="false"/>
    <row r="3939" customFormat="false" ht="15" hidden="false" customHeight="false" outlineLevel="0" collapsed="false"/>
    <row r="3940" customFormat="false" ht="15" hidden="false" customHeight="false" outlineLevel="0" collapsed="false"/>
    <row r="3941" customFormat="false" ht="15" hidden="false" customHeight="false" outlineLevel="0" collapsed="false"/>
    <row r="3942" customFormat="false" ht="15" hidden="false" customHeight="false" outlineLevel="0" collapsed="false"/>
    <row r="3943" customFormat="false" ht="15" hidden="false" customHeight="false" outlineLevel="0" collapsed="false"/>
    <row r="3944" customFormat="false" ht="15" hidden="false" customHeight="false" outlineLevel="0" collapsed="false"/>
    <row r="3945" customFormat="false" ht="15" hidden="false" customHeight="false" outlineLevel="0" collapsed="false"/>
    <row r="3946" customFormat="false" ht="15" hidden="false" customHeight="false" outlineLevel="0" collapsed="false"/>
    <row r="3947" customFormat="false" ht="15" hidden="false" customHeight="false" outlineLevel="0" collapsed="false"/>
    <row r="3948" customFormat="false" ht="15" hidden="false" customHeight="false" outlineLevel="0" collapsed="false"/>
    <row r="3949" customFormat="false" ht="15" hidden="false" customHeight="false" outlineLevel="0" collapsed="false"/>
    <row r="3950" customFormat="false" ht="15" hidden="false" customHeight="false" outlineLevel="0" collapsed="false"/>
    <row r="3951" customFormat="false" ht="15" hidden="false" customHeight="false" outlineLevel="0" collapsed="false"/>
    <row r="3952" customFormat="false" ht="15" hidden="false" customHeight="false" outlineLevel="0" collapsed="false"/>
    <row r="3953" customFormat="false" ht="15" hidden="false" customHeight="false" outlineLevel="0" collapsed="false"/>
    <row r="3954" customFormat="false" ht="15" hidden="false" customHeight="false" outlineLevel="0" collapsed="false"/>
    <row r="3955" customFormat="false" ht="15" hidden="false" customHeight="false" outlineLevel="0" collapsed="false"/>
    <row r="3956" customFormat="false" ht="15" hidden="false" customHeight="false" outlineLevel="0" collapsed="false"/>
    <row r="3957" customFormat="false" ht="15" hidden="false" customHeight="false" outlineLevel="0" collapsed="false"/>
    <row r="3958" customFormat="false" ht="15" hidden="false" customHeight="false" outlineLevel="0" collapsed="false"/>
    <row r="3959" customFormat="false" ht="15" hidden="false" customHeight="false" outlineLevel="0" collapsed="false"/>
    <row r="3960" customFormat="false" ht="15" hidden="false" customHeight="false" outlineLevel="0" collapsed="false"/>
    <row r="3961" customFormat="false" ht="15" hidden="false" customHeight="false" outlineLevel="0" collapsed="false"/>
    <row r="3962" customFormat="false" ht="15" hidden="false" customHeight="false" outlineLevel="0" collapsed="false"/>
    <row r="3963" customFormat="false" ht="15" hidden="false" customHeight="false" outlineLevel="0" collapsed="false"/>
    <row r="3964" customFormat="false" ht="15" hidden="false" customHeight="false" outlineLevel="0" collapsed="false"/>
    <row r="3965" customFormat="false" ht="15" hidden="false" customHeight="false" outlineLevel="0" collapsed="false"/>
    <row r="3966" customFormat="false" ht="15" hidden="false" customHeight="false" outlineLevel="0" collapsed="false"/>
    <row r="3967" customFormat="false" ht="15" hidden="false" customHeight="false" outlineLevel="0" collapsed="false"/>
    <row r="3968" customFormat="false" ht="15" hidden="false" customHeight="false" outlineLevel="0" collapsed="false"/>
    <row r="3969" customFormat="false" ht="15" hidden="false" customHeight="false" outlineLevel="0" collapsed="false"/>
    <row r="3970" customFormat="false" ht="15" hidden="false" customHeight="false" outlineLevel="0" collapsed="false"/>
    <row r="3971" customFormat="false" ht="15" hidden="false" customHeight="false" outlineLevel="0" collapsed="false"/>
    <row r="3972" customFormat="false" ht="15" hidden="false" customHeight="false" outlineLevel="0" collapsed="false"/>
    <row r="3973" customFormat="false" ht="15" hidden="false" customHeight="false" outlineLevel="0" collapsed="false"/>
    <row r="3974" customFormat="false" ht="15" hidden="false" customHeight="false" outlineLevel="0" collapsed="false"/>
    <row r="3975" customFormat="false" ht="15" hidden="false" customHeight="false" outlineLevel="0" collapsed="false"/>
    <row r="3976" customFormat="false" ht="15" hidden="false" customHeight="false" outlineLevel="0" collapsed="false"/>
    <row r="3977" customFormat="false" ht="15" hidden="false" customHeight="false" outlineLevel="0" collapsed="false"/>
    <row r="3978" customFormat="false" ht="15" hidden="false" customHeight="false" outlineLevel="0" collapsed="false"/>
    <row r="3979" customFormat="false" ht="15" hidden="false" customHeight="false" outlineLevel="0" collapsed="false"/>
    <row r="3980" customFormat="false" ht="15" hidden="false" customHeight="false" outlineLevel="0" collapsed="false"/>
    <row r="3981" customFormat="false" ht="15" hidden="false" customHeight="false" outlineLevel="0" collapsed="false"/>
    <row r="3982" customFormat="false" ht="15" hidden="false" customHeight="false" outlineLevel="0" collapsed="false"/>
    <row r="3983" customFormat="false" ht="15" hidden="false" customHeight="false" outlineLevel="0" collapsed="false"/>
    <row r="3984" customFormat="false" ht="15" hidden="false" customHeight="false" outlineLevel="0" collapsed="false"/>
    <row r="3985" customFormat="false" ht="15" hidden="false" customHeight="false" outlineLevel="0" collapsed="false"/>
    <row r="3986" customFormat="false" ht="15" hidden="false" customHeight="false" outlineLevel="0" collapsed="false"/>
    <row r="3987" customFormat="false" ht="15" hidden="false" customHeight="false" outlineLevel="0" collapsed="false"/>
    <row r="3988" customFormat="false" ht="15" hidden="false" customHeight="false" outlineLevel="0" collapsed="false"/>
    <row r="3989" customFormat="false" ht="15" hidden="false" customHeight="false" outlineLevel="0" collapsed="false"/>
    <row r="3990" customFormat="false" ht="15" hidden="false" customHeight="false" outlineLevel="0" collapsed="false"/>
    <row r="3991" customFormat="false" ht="15" hidden="false" customHeight="false" outlineLevel="0" collapsed="false"/>
    <row r="3992" customFormat="false" ht="15" hidden="false" customHeight="false" outlineLevel="0" collapsed="false"/>
    <row r="3993" customFormat="false" ht="15" hidden="false" customHeight="false" outlineLevel="0" collapsed="false"/>
    <row r="3994" customFormat="false" ht="15" hidden="false" customHeight="false" outlineLevel="0" collapsed="false"/>
    <row r="3995" customFormat="false" ht="15" hidden="false" customHeight="false" outlineLevel="0" collapsed="false"/>
    <row r="3996" customFormat="false" ht="15" hidden="false" customHeight="false" outlineLevel="0" collapsed="false"/>
    <row r="3997" customFormat="false" ht="15" hidden="false" customHeight="false" outlineLevel="0" collapsed="false"/>
    <row r="3998" customFormat="false" ht="15" hidden="false" customHeight="false" outlineLevel="0" collapsed="false"/>
    <row r="3999" customFormat="false" ht="15" hidden="false" customHeight="false" outlineLevel="0" collapsed="false"/>
    <row r="4000" customFormat="false" ht="15" hidden="false" customHeight="false" outlineLevel="0" collapsed="false"/>
    <row r="4001" customFormat="false" ht="15" hidden="false" customHeight="false" outlineLevel="0" collapsed="false"/>
    <row r="4002" customFormat="false" ht="15" hidden="false" customHeight="false" outlineLevel="0" collapsed="false"/>
    <row r="4003" customFormat="false" ht="15" hidden="false" customHeight="false" outlineLevel="0" collapsed="false"/>
    <row r="4004" customFormat="false" ht="15" hidden="false" customHeight="false" outlineLevel="0" collapsed="false"/>
    <row r="4005" customFormat="false" ht="15" hidden="false" customHeight="false" outlineLevel="0" collapsed="false"/>
    <row r="4006" customFormat="false" ht="15" hidden="false" customHeight="false" outlineLevel="0" collapsed="false"/>
    <row r="4007" customFormat="false" ht="15" hidden="false" customHeight="false" outlineLevel="0" collapsed="false"/>
    <row r="4008" customFormat="false" ht="15" hidden="false" customHeight="false" outlineLevel="0" collapsed="false"/>
    <row r="4009" customFormat="false" ht="15" hidden="false" customHeight="false" outlineLevel="0" collapsed="false"/>
    <row r="4010" customFormat="false" ht="15" hidden="false" customHeight="false" outlineLevel="0" collapsed="false"/>
    <row r="4011" customFormat="false" ht="15" hidden="false" customHeight="false" outlineLevel="0" collapsed="false"/>
    <row r="4012" customFormat="false" ht="15" hidden="false" customHeight="false" outlineLevel="0" collapsed="false"/>
    <row r="4013" customFormat="false" ht="15" hidden="false" customHeight="false" outlineLevel="0" collapsed="false"/>
    <row r="4014" customFormat="false" ht="15" hidden="false" customHeight="false" outlineLevel="0" collapsed="false"/>
    <row r="4015" customFormat="false" ht="15" hidden="false" customHeight="false" outlineLevel="0" collapsed="false"/>
    <row r="4016" customFormat="false" ht="15" hidden="false" customHeight="false" outlineLevel="0" collapsed="false"/>
    <row r="4017" customFormat="false" ht="15" hidden="false" customHeight="false" outlineLevel="0" collapsed="false"/>
    <row r="4018" customFormat="false" ht="15" hidden="false" customHeight="false" outlineLevel="0" collapsed="false"/>
    <row r="4019" customFormat="false" ht="15" hidden="false" customHeight="false" outlineLevel="0" collapsed="false"/>
    <row r="4020" customFormat="false" ht="15" hidden="false" customHeight="false" outlineLevel="0" collapsed="false"/>
    <row r="4021" customFormat="false" ht="15" hidden="false" customHeight="false" outlineLevel="0" collapsed="false"/>
    <row r="4022" customFormat="false" ht="15" hidden="false" customHeight="false" outlineLevel="0" collapsed="false"/>
    <row r="4023" customFormat="false" ht="15" hidden="false" customHeight="false" outlineLevel="0" collapsed="false"/>
    <row r="4024" customFormat="false" ht="15" hidden="false" customHeight="false" outlineLevel="0" collapsed="false"/>
    <row r="4025" customFormat="false" ht="15" hidden="false" customHeight="false" outlineLevel="0" collapsed="false"/>
    <row r="4026" customFormat="false" ht="15" hidden="false" customHeight="false" outlineLevel="0" collapsed="false"/>
    <row r="4027" customFormat="false" ht="15" hidden="false" customHeight="false" outlineLevel="0" collapsed="false"/>
    <row r="4028" customFormat="false" ht="15" hidden="false" customHeight="false" outlineLevel="0" collapsed="false"/>
    <row r="4029" customFormat="false" ht="15" hidden="false" customHeight="false" outlineLevel="0" collapsed="false"/>
    <row r="4030" customFormat="false" ht="15" hidden="false" customHeight="false" outlineLevel="0" collapsed="false"/>
    <row r="4031" customFormat="false" ht="15" hidden="false" customHeight="false" outlineLevel="0" collapsed="false"/>
    <row r="4032" customFormat="false" ht="15" hidden="false" customHeight="false" outlineLevel="0" collapsed="false"/>
    <row r="4033" customFormat="false" ht="15" hidden="false" customHeight="false" outlineLevel="0" collapsed="false"/>
    <row r="4034" customFormat="false" ht="15" hidden="false" customHeight="false" outlineLevel="0" collapsed="false"/>
    <row r="4035" customFormat="false" ht="15" hidden="false" customHeight="false" outlineLevel="0" collapsed="false"/>
    <row r="4036" customFormat="false" ht="15" hidden="false" customHeight="false" outlineLevel="0" collapsed="false"/>
    <row r="4037" customFormat="false" ht="15" hidden="false" customHeight="false" outlineLevel="0" collapsed="false"/>
    <row r="4038" customFormat="false" ht="15" hidden="false" customHeight="false" outlineLevel="0" collapsed="false"/>
    <row r="4039" customFormat="false" ht="15" hidden="false" customHeight="false" outlineLevel="0" collapsed="false"/>
    <row r="4040" customFormat="false" ht="15" hidden="false" customHeight="false" outlineLevel="0" collapsed="false"/>
    <row r="4041" customFormat="false" ht="15" hidden="false" customHeight="false" outlineLevel="0" collapsed="false"/>
    <row r="4042" customFormat="false" ht="15" hidden="false" customHeight="false" outlineLevel="0" collapsed="false"/>
    <row r="4043" customFormat="false" ht="15" hidden="false" customHeight="false" outlineLevel="0" collapsed="false"/>
    <row r="4044" customFormat="false" ht="15" hidden="false" customHeight="false" outlineLevel="0" collapsed="false"/>
    <row r="4045" customFormat="false" ht="15" hidden="false" customHeight="false" outlineLevel="0" collapsed="false"/>
    <row r="4046" customFormat="false" ht="15" hidden="false" customHeight="false" outlineLevel="0" collapsed="false"/>
    <row r="4047" customFormat="false" ht="15" hidden="false" customHeight="false" outlineLevel="0" collapsed="false"/>
    <row r="4048" customFormat="false" ht="15" hidden="false" customHeight="false" outlineLevel="0" collapsed="false"/>
    <row r="4049" customFormat="false" ht="15" hidden="false" customHeight="false" outlineLevel="0" collapsed="false"/>
    <row r="4050" customFormat="false" ht="15" hidden="false" customHeight="false" outlineLevel="0" collapsed="false"/>
    <row r="4051" customFormat="false" ht="15" hidden="false" customHeight="false" outlineLevel="0" collapsed="false"/>
    <row r="4052" customFormat="false" ht="15" hidden="false" customHeight="false" outlineLevel="0" collapsed="false"/>
    <row r="4053" customFormat="false" ht="15" hidden="false" customHeight="false" outlineLevel="0" collapsed="false"/>
    <row r="4054" customFormat="false" ht="15" hidden="false" customHeight="false" outlineLevel="0" collapsed="false"/>
    <row r="4055" customFormat="false" ht="15" hidden="false" customHeight="false" outlineLevel="0" collapsed="false"/>
    <row r="4056" customFormat="false" ht="15" hidden="false" customHeight="false" outlineLevel="0" collapsed="false"/>
    <row r="4057" customFormat="false" ht="15" hidden="false" customHeight="false" outlineLevel="0" collapsed="false"/>
    <row r="4058" customFormat="false" ht="15" hidden="false" customHeight="false" outlineLevel="0" collapsed="false"/>
    <row r="4059" customFormat="false" ht="15" hidden="false" customHeight="false" outlineLevel="0" collapsed="false"/>
    <row r="4060" customFormat="false" ht="15" hidden="false" customHeight="false" outlineLevel="0" collapsed="false"/>
    <row r="4061" customFormat="false" ht="15" hidden="false" customHeight="false" outlineLevel="0" collapsed="false"/>
    <row r="4062" customFormat="false" ht="15" hidden="false" customHeight="false" outlineLevel="0" collapsed="false"/>
    <row r="4063" customFormat="false" ht="15" hidden="false" customHeight="false" outlineLevel="0" collapsed="false"/>
    <row r="4064" customFormat="false" ht="15" hidden="false" customHeight="false" outlineLevel="0" collapsed="false"/>
    <row r="4065" customFormat="false" ht="15" hidden="false" customHeight="false" outlineLevel="0" collapsed="false"/>
    <row r="4066" customFormat="false" ht="15" hidden="false" customHeight="false" outlineLevel="0" collapsed="false"/>
    <row r="4067" customFormat="false" ht="15" hidden="false" customHeight="false" outlineLevel="0" collapsed="false"/>
    <row r="4068" customFormat="false" ht="15" hidden="false" customHeight="false" outlineLevel="0" collapsed="false"/>
    <row r="4069" customFormat="false" ht="15" hidden="false" customHeight="false" outlineLevel="0" collapsed="false"/>
    <row r="4070" customFormat="false" ht="15" hidden="false" customHeight="false" outlineLevel="0" collapsed="false"/>
    <row r="4071" customFormat="false" ht="15" hidden="false" customHeight="false" outlineLevel="0" collapsed="false"/>
    <row r="4072" customFormat="false" ht="15" hidden="false" customHeight="false" outlineLevel="0" collapsed="false"/>
    <row r="4073" customFormat="false" ht="15" hidden="false" customHeight="false" outlineLevel="0" collapsed="false"/>
    <row r="4074" customFormat="false" ht="15" hidden="false" customHeight="false" outlineLevel="0" collapsed="false"/>
    <row r="4075" customFormat="false" ht="15" hidden="false" customHeight="false" outlineLevel="0" collapsed="false"/>
    <row r="4076" customFormat="false" ht="15" hidden="false" customHeight="false" outlineLevel="0" collapsed="false"/>
    <row r="4077" customFormat="false" ht="15" hidden="false" customHeight="false" outlineLevel="0" collapsed="false"/>
    <row r="4078" customFormat="false" ht="15" hidden="false" customHeight="false" outlineLevel="0" collapsed="false"/>
    <row r="4079" customFormat="false" ht="15" hidden="false" customHeight="false" outlineLevel="0" collapsed="false"/>
    <row r="4080" customFormat="false" ht="15" hidden="false" customHeight="false" outlineLevel="0" collapsed="false"/>
    <row r="4081" customFormat="false" ht="15" hidden="false" customHeight="false" outlineLevel="0" collapsed="false"/>
    <row r="4082" customFormat="false" ht="15" hidden="false" customHeight="false" outlineLevel="0" collapsed="false"/>
    <row r="4083" customFormat="false" ht="15" hidden="false" customHeight="false" outlineLevel="0" collapsed="false"/>
    <row r="4084" customFormat="false" ht="15" hidden="false" customHeight="false" outlineLevel="0" collapsed="false"/>
    <row r="4085" customFormat="false" ht="15" hidden="false" customHeight="false" outlineLevel="0" collapsed="false"/>
    <row r="4086" customFormat="false" ht="15" hidden="false" customHeight="false" outlineLevel="0" collapsed="false"/>
    <row r="4087" customFormat="false" ht="15" hidden="false" customHeight="false" outlineLevel="0" collapsed="false"/>
    <row r="4088" customFormat="false" ht="15" hidden="false" customHeight="false" outlineLevel="0" collapsed="false"/>
    <row r="4089" customFormat="false" ht="15" hidden="false" customHeight="false" outlineLevel="0" collapsed="false"/>
    <row r="4090" customFormat="false" ht="15" hidden="false" customHeight="false" outlineLevel="0" collapsed="false"/>
    <row r="4091" customFormat="false" ht="15" hidden="false" customHeight="false" outlineLevel="0" collapsed="false"/>
    <row r="4092" customFormat="false" ht="15" hidden="false" customHeight="false" outlineLevel="0" collapsed="false"/>
    <row r="4093" customFormat="false" ht="15" hidden="false" customHeight="false" outlineLevel="0" collapsed="false"/>
    <row r="4094" customFormat="false" ht="15" hidden="false" customHeight="false" outlineLevel="0" collapsed="false"/>
    <row r="4095" customFormat="false" ht="15" hidden="false" customHeight="false" outlineLevel="0" collapsed="false"/>
    <row r="4096" customFormat="false" ht="15" hidden="false" customHeight="false" outlineLevel="0" collapsed="false"/>
    <row r="4097" customFormat="false" ht="15" hidden="false" customHeight="false" outlineLevel="0" collapsed="false"/>
    <row r="4098" customFormat="false" ht="15" hidden="false" customHeight="false" outlineLevel="0" collapsed="false"/>
    <row r="4099" customFormat="false" ht="15" hidden="false" customHeight="false" outlineLevel="0" collapsed="false"/>
    <row r="4100" customFormat="false" ht="15" hidden="false" customHeight="false" outlineLevel="0" collapsed="false"/>
    <row r="4101" customFormat="false" ht="15" hidden="false" customHeight="false" outlineLevel="0" collapsed="false"/>
    <row r="4102" customFormat="false" ht="15" hidden="false" customHeight="false" outlineLevel="0" collapsed="false"/>
    <row r="4103" customFormat="false" ht="15" hidden="false" customHeight="false" outlineLevel="0" collapsed="false"/>
    <row r="4104" customFormat="false" ht="15" hidden="false" customHeight="false" outlineLevel="0" collapsed="false"/>
    <row r="4105" customFormat="false" ht="15" hidden="false" customHeight="false" outlineLevel="0" collapsed="false"/>
    <row r="4106" customFormat="false" ht="15" hidden="false" customHeight="false" outlineLevel="0" collapsed="false"/>
    <row r="4107" customFormat="false" ht="15" hidden="false" customHeight="false" outlineLevel="0" collapsed="false"/>
    <row r="4108" customFormat="false" ht="15" hidden="false" customHeight="false" outlineLevel="0" collapsed="false"/>
    <row r="4109" customFormat="false" ht="15" hidden="false" customHeight="false" outlineLevel="0" collapsed="false"/>
    <row r="4110" customFormat="false" ht="15" hidden="false" customHeight="false" outlineLevel="0" collapsed="false"/>
    <row r="4111" customFormat="false" ht="15" hidden="false" customHeight="false" outlineLevel="0" collapsed="false"/>
    <row r="4112" customFormat="false" ht="15" hidden="false" customHeight="false" outlineLevel="0" collapsed="false"/>
    <row r="4113" customFormat="false" ht="15" hidden="false" customHeight="false" outlineLevel="0" collapsed="false"/>
    <row r="4114" customFormat="false" ht="15" hidden="false" customHeight="false" outlineLevel="0" collapsed="false"/>
    <row r="4115" customFormat="false" ht="15" hidden="false" customHeight="false" outlineLevel="0" collapsed="false"/>
    <row r="4116" customFormat="false" ht="15" hidden="false" customHeight="false" outlineLevel="0" collapsed="false"/>
    <row r="4117" customFormat="false" ht="15" hidden="false" customHeight="false" outlineLevel="0" collapsed="false"/>
    <row r="4118" customFormat="false" ht="15" hidden="false" customHeight="false" outlineLevel="0" collapsed="false"/>
    <row r="4119" customFormat="false" ht="15" hidden="false" customHeight="false" outlineLevel="0" collapsed="false"/>
    <row r="4120" customFormat="false" ht="15" hidden="false" customHeight="false" outlineLevel="0" collapsed="false"/>
    <row r="4121" customFormat="false" ht="15" hidden="false" customHeight="false" outlineLevel="0" collapsed="false"/>
    <row r="4122" customFormat="false" ht="15" hidden="false" customHeight="false" outlineLevel="0" collapsed="false"/>
    <row r="4123" customFormat="false" ht="15" hidden="false" customHeight="false" outlineLevel="0" collapsed="false"/>
    <row r="4124" customFormat="false" ht="15" hidden="false" customHeight="false" outlineLevel="0" collapsed="false"/>
    <row r="4125" customFormat="false" ht="15" hidden="false" customHeight="false" outlineLevel="0" collapsed="false"/>
    <row r="4126" customFormat="false" ht="15" hidden="false" customHeight="false" outlineLevel="0" collapsed="false"/>
    <row r="4127" customFormat="false" ht="15" hidden="false" customHeight="false" outlineLevel="0" collapsed="false"/>
    <row r="4128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49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J21" activeCellId="0" sqref="J21"/>
    </sheetView>
  </sheetViews>
  <sheetFormatPr defaultColWidth="9.3359375" defaultRowHeight="12.75" customHeight="true" zeroHeight="false" outlineLevelRow="0" outlineLevelCol="0"/>
  <cols>
    <col collapsed="false" customWidth="true" hidden="false" outlineLevel="0" max="1" min="1" style="1" width="19.33"/>
    <col collapsed="false" customWidth="true" hidden="false" outlineLevel="0" max="3" min="2" style="1" width="11.33"/>
    <col collapsed="false" customWidth="true" hidden="false" outlineLevel="0" max="4" min="4" style="1" width="14.33"/>
    <col collapsed="false" customWidth="true" hidden="false" outlineLevel="0" max="5" min="5" style="1" width="12.5"/>
    <col collapsed="false" customWidth="true" hidden="false" outlineLevel="0" max="6" min="6" style="1" width="11.33"/>
    <col collapsed="false" customWidth="true" hidden="false" outlineLevel="0" max="7" min="7" style="1" width="13.16"/>
    <col collapsed="false" customWidth="true" hidden="false" outlineLevel="0" max="9" min="8" style="1" width="16"/>
    <col collapsed="false" customWidth="true" hidden="false" outlineLevel="0" max="11" min="10" style="1" width="15.66"/>
    <col collapsed="false" customWidth="true" hidden="false" outlineLevel="0" max="12" min="12" style="1" width="12.33"/>
    <col collapsed="false" customWidth="true" hidden="false" outlineLevel="0" max="49" min="13" style="1" width="11.33"/>
    <col collapsed="false" customWidth="false" hidden="false" outlineLevel="0" max="305" min="50" style="2" width="9.33"/>
  </cols>
  <sheetData>
    <row r="1" customFormat="false" ht="13.8" hidden="false" customHeight="false" outlineLevel="0" collapsed="false">
      <c r="A1" s="3" t="s">
        <v>0</v>
      </c>
      <c r="B1" s="4" t="n">
        <v>5000</v>
      </c>
      <c r="C1" s="4"/>
      <c r="D1" s="4" t="s">
        <v>1</v>
      </c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customFormat="false" ht="13.8" hidden="false" customHeight="false" outlineLevel="0" collapsed="false">
      <c r="A2" s="5" t="s">
        <v>2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customFormat="false" ht="13.8" hidden="false" customHeight="false" outlineLevel="0" collapsed="false">
      <c r="A3" s="6" t="s">
        <v>3</v>
      </c>
      <c r="B3" s="4" t="n">
        <v>1</v>
      </c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customFormat="false" ht="13.8" hidden="false" customHeight="false" outlineLevel="0" collapsed="false">
      <c r="A4" s="4" t="s">
        <v>4</v>
      </c>
      <c r="B4" s="4" t="n">
        <f aca="false">B3/12*52</f>
        <v>4.33333333333333</v>
      </c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customFormat="false" ht="13.8" hidden="false" customHeight="false" outlineLevel="0" collapsed="false">
      <c r="A5" s="4" t="s">
        <v>6</v>
      </c>
      <c r="B5" s="4" t="n">
        <v>48</v>
      </c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customFormat="false" ht="13.8" hidden="false" customHeight="false" outlineLevel="0" collapsed="false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customFormat="false" ht="13.8" hidden="false" customHeight="false" outlineLevel="0" collapsed="false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7" t="s">
        <v>7</v>
      </c>
      <c r="M7" s="2"/>
      <c r="N7" s="2"/>
      <c r="O7" s="8" t="s">
        <v>8</v>
      </c>
      <c r="P7" s="9" t="s">
        <v>9</v>
      </c>
      <c r="Q7" s="2"/>
      <c r="R7" s="8" t="s">
        <v>10</v>
      </c>
      <c r="S7" s="9" t="s">
        <v>11</v>
      </c>
      <c r="T7" s="2"/>
      <c r="U7" s="8" t="s">
        <v>12</v>
      </c>
      <c r="V7" s="9" t="s">
        <v>13</v>
      </c>
      <c r="W7" s="2"/>
      <c r="X7" s="8" t="s">
        <v>14</v>
      </c>
      <c r="Y7" s="9" t="s">
        <v>15</v>
      </c>
      <c r="Z7" s="2"/>
      <c r="AA7" s="8" t="s">
        <v>16</v>
      </c>
      <c r="AB7" s="9" t="s">
        <v>17</v>
      </c>
      <c r="AC7" s="2"/>
      <c r="AD7" s="8" t="s">
        <v>18</v>
      </c>
      <c r="AE7" s="9" t="s">
        <v>19</v>
      </c>
      <c r="AF7" s="2"/>
      <c r="AG7" s="8" t="s">
        <v>20</v>
      </c>
      <c r="AH7" s="9" t="s">
        <v>19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customFormat="false" ht="13.8" hidden="false" customHeight="false" outlineLevel="0" collapsed="false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/>
      <c r="J8" s="3" t="s">
        <v>29</v>
      </c>
      <c r="K8" s="3" t="s">
        <v>30</v>
      </c>
      <c r="L8" s="7" t="s">
        <v>31</v>
      </c>
      <c r="M8" s="7" t="s">
        <v>32</v>
      </c>
      <c r="N8" s="2" t="s">
        <v>33</v>
      </c>
      <c r="O8" s="2" t="s">
        <v>34</v>
      </c>
      <c r="P8" s="10" t="s">
        <v>35</v>
      </c>
      <c r="Q8" s="7" t="s">
        <v>36</v>
      </c>
      <c r="R8" s="7" t="s">
        <v>37</v>
      </c>
      <c r="S8" s="11" t="s">
        <v>38</v>
      </c>
      <c r="T8" s="2"/>
      <c r="U8" s="10" t="s">
        <v>35</v>
      </c>
      <c r="V8" s="7" t="s">
        <v>36</v>
      </c>
      <c r="W8" s="7" t="s">
        <v>37</v>
      </c>
      <c r="X8" s="11" t="s">
        <v>38</v>
      </c>
      <c r="Y8" s="2"/>
      <c r="Z8" s="10" t="s">
        <v>35</v>
      </c>
      <c r="AA8" s="7" t="s">
        <v>36</v>
      </c>
      <c r="AB8" s="7" t="s">
        <v>37</v>
      </c>
      <c r="AC8" s="11" t="s">
        <v>38</v>
      </c>
      <c r="AD8" s="2"/>
      <c r="AE8" s="10" t="s">
        <v>35</v>
      </c>
      <c r="AF8" s="7" t="s">
        <v>36</v>
      </c>
      <c r="AG8" s="7" t="s">
        <v>37</v>
      </c>
      <c r="AH8" s="11" t="s">
        <v>38</v>
      </c>
      <c r="AI8" s="2"/>
      <c r="AJ8" s="10" t="s">
        <v>35</v>
      </c>
      <c r="AK8" s="7" t="s">
        <v>36</v>
      </c>
      <c r="AL8" s="7" t="s">
        <v>37</v>
      </c>
      <c r="AM8" s="11" t="s">
        <v>38</v>
      </c>
      <c r="AN8" s="2"/>
      <c r="AO8" s="10" t="s">
        <v>35</v>
      </c>
      <c r="AP8" s="7" t="s">
        <v>36</v>
      </c>
      <c r="AQ8" s="7" t="s">
        <v>37</v>
      </c>
      <c r="AR8" s="11" t="s">
        <v>38</v>
      </c>
      <c r="AS8" s="2"/>
      <c r="AT8" s="10" t="s">
        <v>35</v>
      </c>
      <c r="AU8" s="7" t="s">
        <v>36</v>
      </c>
      <c r="AV8" s="7" t="s">
        <v>37</v>
      </c>
      <c r="AW8" s="11" t="s">
        <v>38</v>
      </c>
    </row>
    <row r="9" customFormat="false" ht="13.8" hidden="false" customHeight="false" outlineLevel="0" collapsed="false">
      <c r="A9" s="12" t="s">
        <v>39</v>
      </c>
      <c r="B9" s="13" t="n">
        <v>30</v>
      </c>
      <c r="C9" s="13" t="n">
        <v>10</v>
      </c>
      <c r="D9" s="14" t="n">
        <f aca="false">B9*C9/100</f>
        <v>3</v>
      </c>
      <c r="E9" s="15" t="n">
        <f aca="false">$B$1*C9/100</f>
        <v>500</v>
      </c>
      <c r="F9" s="15" t="n">
        <v>0</v>
      </c>
      <c r="G9" s="15" t="n">
        <f aca="false">E9-F9</f>
        <v>500</v>
      </c>
      <c r="H9" s="15" t="n">
        <f aca="false">G9/($B$4)*2</f>
        <v>230.769230769231</v>
      </c>
      <c r="I9" s="15" t="n">
        <f aca="false">J9/2</f>
        <v>250</v>
      </c>
      <c r="J9" s="15" t="n">
        <f aca="false">G9/($B$3)</f>
        <v>500</v>
      </c>
      <c r="K9" s="15" t="n">
        <f aca="false">F9+H9/2*$B$5</f>
        <v>5538.46153846154</v>
      </c>
      <c r="L9" s="16" t="n">
        <f aca="false">(H9/2)*(1+B9/100/52)^(52-$B$4)*( ( (1+B9/100/52)^$B$4-1) / (B9/100/52) ) + F9*(1+B9/100/52)^(52)</f>
        <v>664.098269288528</v>
      </c>
      <c r="M9" s="16" t="n">
        <f aca="false">J9*(1+B9/100/12)^(12-$B$3)*(((1+B9/100/12)^$B$3-1)/(B9/100/12)) + F9*(1+B9/100/12)^(12)</f>
        <v>656.043328900631</v>
      </c>
      <c r="N9" s="2" t="n">
        <v>0</v>
      </c>
      <c r="O9" s="16" t="n">
        <f aca="false">N9*H9</f>
        <v>0</v>
      </c>
      <c r="P9" s="17" t="n">
        <v>50</v>
      </c>
      <c r="Q9" s="13" t="n">
        <f aca="false">C9*P9/100</f>
        <v>5</v>
      </c>
      <c r="R9" s="16" t="n">
        <f aca="false">K9*P9/100</f>
        <v>2769.23076923077</v>
      </c>
      <c r="S9" s="18" t="n">
        <f aca="false">$E9*P9/100</f>
        <v>250</v>
      </c>
      <c r="T9" s="2"/>
      <c r="U9" s="17" t="n">
        <v>0</v>
      </c>
      <c r="V9" s="13" t="n">
        <f aca="false">C9*U9/100</f>
        <v>0</v>
      </c>
      <c r="W9" s="16" t="n">
        <f aca="false">K9*U9/100</f>
        <v>0</v>
      </c>
      <c r="X9" s="18" t="n">
        <f aca="false">$E9*U9/100</f>
        <v>0</v>
      </c>
      <c r="Y9" s="2"/>
      <c r="Z9" s="17" t="n">
        <v>0</v>
      </c>
      <c r="AA9" s="13" t="n">
        <f aca="false">C9*Z9/100</f>
        <v>0</v>
      </c>
      <c r="AB9" s="16" t="n">
        <f aca="false">K9*Z9/100</f>
        <v>0</v>
      </c>
      <c r="AC9" s="18" t="n">
        <f aca="false">$E9*Z9/100</f>
        <v>0</v>
      </c>
      <c r="AD9" s="2"/>
      <c r="AE9" s="19" t="n">
        <v>6.7</v>
      </c>
      <c r="AF9" s="13" t="n">
        <f aca="false">$C9*AE9/100</f>
        <v>0.67</v>
      </c>
      <c r="AG9" s="16" t="n">
        <f aca="false">$K9*AE9/100</f>
        <v>371.076923076923</v>
      </c>
      <c r="AH9" s="18" t="n">
        <f aca="false">$E9*AE9/100</f>
        <v>33.5</v>
      </c>
      <c r="AI9" s="2"/>
      <c r="AJ9" s="19" t="n">
        <v>0</v>
      </c>
      <c r="AK9" s="13" t="n">
        <f aca="false">$C9*AJ9/100</f>
        <v>0</v>
      </c>
      <c r="AL9" s="16" t="n">
        <f aca="false">$K9*AJ9/100</f>
        <v>0</v>
      </c>
      <c r="AM9" s="18" t="n">
        <f aca="false">$E9*AJ9/100</f>
        <v>0</v>
      </c>
      <c r="AN9" s="2"/>
      <c r="AO9" s="19" t="n">
        <v>20</v>
      </c>
      <c r="AP9" s="13" t="n">
        <f aca="false">$C9*AO9/100</f>
        <v>2</v>
      </c>
      <c r="AQ9" s="16" t="n">
        <f aca="false">$K9*AO9/100</f>
        <v>1107.69230769231</v>
      </c>
      <c r="AR9" s="18" t="n">
        <f aca="false">$E9*AO9/100</f>
        <v>100</v>
      </c>
      <c r="AS9" s="2"/>
      <c r="AT9" s="19" t="n">
        <v>0</v>
      </c>
      <c r="AU9" s="13" t="n">
        <f aca="false">$C9*AT9/100</f>
        <v>0</v>
      </c>
      <c r="AV9" s="16" t="n">
        <f aca="false">$K9*AT9/100</f>
        <v>0</v>
      </c>
      <c r="AW9" s="18" t="n">
        <f aca="false">$E9*AT9/100</f>
        <v>0</v>
      </c>
    </row>
    <row r="10" customFormat="false" ht="13.8" hidden="false" customHeight="false" outlineLevel="0" collapsed="false">
      <c r="A10" s="12" t="s">
        <v>40</v>
      </c>
      <c r="B10" s="13" t="n">
        <v>20</v>
      </c>
      <c r="C10" s="13" t="n">
        <v>10</v>
      </c>
      <c r="D10" s="14" t="n">
        <f aca="false">B10*C10/100</f>
        <v>2</v>
      </c>
      <c r="E10" s="15" t="n">
        <f aca="false">$B$1*C10/100</f>
        <v>500</v>
      </c>
      <c r="F10" s="15" t="n">
        <v>0</v>
      </c>
      <c r="G10" s="15" t="n">
        <f aca="false">E10-F10</f>
        <v>500</v>
      </c>
      <c r="H10" s="15" t="n">
        <f aca="false">G10/($B$4)*2</f>
        <v>230.769230769231</v>
      </c>
      <c r="I10" s="15" t="n">
        <f aca="false">J10/2</f>
        <v>250</v>
      </c>
      <c r="J10" s="15" t="n">
        <f aca="false">G10/($B$3)</f>
        <v>500</v>
      </c>
      <c r="K10" s="15" t="n">
        <f aca="false">F10+H10/2*$B$5</f>
        <v>5538.46153846154</v>
      </c>
      <c r="L10" s="16" t="n">
        <f aca="false">(H10/2)*(1+B10/100/52)^(52-$B$4)*( ( (1+B10/100/52)^$B$4-1) / (B10/100/52) ) + F10*(1+B10/100/52)^(52)</f>
        <v>604.256420596362</v>
      </c>
      <c r="M10" s="16" t="n">
        <f aca="false">J10*(1+B10/100/12)^(12-$B$3)*(((1+B10/100/12)^$B$3-1)/(B10/100/12)) + F10*(1+B10/100/12)^(12)</f>
        <v>599.700533559948</v>
      </c>
      <c r="N10" s="2" t="n">
        <v>0</v>
      </c>
      <c r="O10" s="16" t="n">
        <f aca="false">N10*H10</f>
        <v>0</v>
      </c>
      <c r="P10" s="17" t="n">
        <v>30</v>
      </c>
      <c r="Q10" s="13" t="n">
        <f aca="false">C10*P10/100</f>
        <v>3</v>
      </c>
      <c r="R10" s="16" t="n">
        <f aca="false">K10*P10/100</f>
        <v>1661.53846153846</v>
      </c>
      <c r="S10" s="18" t="n">
        <f aca="false">$E10*P10/100</f>
        <v>150</v>
      </c>
      <c r="T10" s="2"/>
      <c r="U10" s="17" t="n">
        <v>2.9</v>
      </c>
      <c r="V10" s="13" t="n">
        <f aca="false">C10*U10/100</f>
        <v>0.29</v>
      </c>
      <c r="W10" s="20" t="n">
        <f aca="false">K10*U10/100</f>
        <v>160.615384615385</v>
      </c>
      <c r="X10" s="21" t="n">
        <f aca="false">$E10*U10/100</f>
        <v>14.5</v>
      </c>
      <c r="Y10" s="2"/>
      <c r="Z10" s="17" t="n">
        <v>0.1</v>
      </c>
      <c r="AA10" s="13" t="n">
        <f aca="false">C10*Z10/100</f>
        <v>0.01</v>
      </c>
      <c r="AB10" s="20" t="n">
        <f aca="false">K10*Z10/100</f>
        <v>5.53846153846154</v>
      </c>
      <c r="AC10" s="21" t="n">
        <f aca="false">$E10*Z10/100</f>
        <v>0.5</v>
      </c>
      <c r="AD10" s="2"/>
      <c r="AE10" s="19" t="n">
        <v>14.6</v>
      </c>
      <c r="AF10" s="13" t="n">
        <f aca="false">$C10*AE10/100</f>
        <v>1.46</v>
      </c>
      <c r="AG10" s="22" t="n">
        <f aca="false">$K10*AE10/100</f>
        <v>808.615384615385</v>
      </c>
      <c r="AH10" s="23" t="n">
        <f aca="false">$E10*AE10/100</f>
        <v>73</v>
      </c>
      <c r="AI10" s="2"/>
      <c r="AJ10" s="19" t="n">
        <v>12.7</v>
      </c>
      <c r="AK10" s="13" t="n">
        <f aca="false">$C10*AJ10/100</f>
        <v>1.27</v>
      </c>
      <c r="AL10" s="22" t="n">
        <f aca="false">$K10*AJ10/100</f>
        <v>703.384615384616</v>
      </c>
      <c r="AM10" s="23" t="n">
        <f aca="false">$E10*AJ10/100</f>
        <v>63.5</v>
      </c>
      <c r="AN10" s="2"/>
      <c r="AO10" s="19" t="n">
        <v>0</v>
      </c>
      <c r="AP10" s="13" t="n">
        <f aca="false">$C10*AO10/100</f>
        <v>0</v>
      </c>
      <c r="AQ10" s="20" t="n">
        <f aca="false">$K10*AO10/100</f>
        <v>0</v>
      </c>
      <c r="AR10" s="21" t="n">
        <f aca="false">$E10*AO10/100</f>
        <v>0</v>
      </c>
      <c r="AS10" s="2"/>
      <c r="AT10" s="19" t="n">
        <v>0</v>
      </c>
      <c r="AU10" s="13" t="n">
        <f aca="false">$C10*AT10/100</f>
        <v>0</v>
      </c>
      <c r="AV10" s="20" t="n">
        <f aca="false">$K10*AT10/100</f>
        <v>0</v>
      </c>
      <c r="AW10" s="21" t="n">
        <f aca="false">$E10*AT10/100</f>
        <v>0</v>
      </c>
    </row>
    <row r="11" customFormat="false" ht="13.8" hidden="false" customHeight="false" outlineLevel="0" collapsed="false">
      <c r="A11" s="12" t="s">
        <v>41</v>
      </c>
      <c r="B11" s="13" t="n">
        <v>30</v>
      </c>
      <c r="C11" s="13" t="n">
        <v>15</v>
      </c>
      <c r="D11" s="14" t="n">
        <f aca="false">B11*C11/100</f>
        <v>4.5</v>
      </c>
      <c r="E11" s="15" t="n">
        <f aca="false">$B$1*C11/100</f>
        <v>750</v>
      </c>
      <c r="F11" s="15" t="n">
        <v>0</v>
      </c>
      <c r="G11" s="15" t="n">
        <f aca="false">E11-F11</f>
        <v>750</v>
      </c>
      <c r="H11" s="15" t="n">
        <f aca="false">G11/($B$4)*2</f>
        <v>346.153846153846</v>
      </c>
      <c r="I11" s="15" t="n">
        <f aca="false">J11/2</f>
        <v>375</v>
      </c>
      <c r="J11" s="15" t="n">
        <f aca="false">G11/($B$3)</f>
        <v>750</v>
      </c>
      <c r="K11" s="15" t="n">
        <f aca="false">F11+H11/2*$B$5</f>
        <v>8307.69230769231</v>
      </c>
      <c r="L11" s="16" t="n">
        <f aca="false">(H11/2)*(1+B11/100/52)^(52-$B$4)*( ( (1+B11/100/52)^$B$4-1) / (B11/100/52) ) + F11*(1+B11/100/52)^(52)</f>
        <v>996.147403932792</v>
      </c>
      <c r="M11" s="16" t="n">
        <f aca="false">J11*(1+B11/100/12)^(12-$B$3)*(((1+B11/100/12)^$B$3-1)/(B11/100/12)) + F11*(1+B11/100/12)^(12)</f>
        <v>984.064993350946</v>
      </c>
      <c r="N11" s="2" t="n">
        <v>0</v>
      </c>
      <c r="O11" s="16" t="n">
        <f aca="false">N11*H11</f>
        <v>0</v>
      </c>
      <c r="P11" s="17" t="n">
        <v>100</v>
      </c>
      <c r="Q11" s="13" t="n">
        <f aca="false">C11*P11/100</f>
        <v>15</v>
      </c>
      <c r="R11" s="16" t="n">
        <f aca="false">K11*P11/100</f>
        <v>8307.69230769231</v>
      </c>
      <c r="S11" s="18" t="n">
        <f aca="false">$E11*P11/100</f>
        <v>750</v>
      </c>
      <c r="T11" s="2"/>
      <c r="U11" s="17" t="n">
        <v>0</v>
      </c>
      <c r="V11" s="13" t="n">
        <f aca="false">C11*U11/100</f>
        <v>0</v>
      </c>
      <c r="W11" s="16" t="n">
        <f aca="false">K11*U11/100</f>
        <v>0</v>
      </c>
      <c r="X11" s="18" t="n">
        <f aca="false">$E11*U11/100</f>
        <v>0</v>
      </c>
      <c r="Y11" s="2"/>
      <c r="Z11" s="17" t="n">
        <v>0</v>
      </c>
      <c r="AA11" s="13" t="n">
        <f aca="false">C11*Z11/100</f>
        <v>0</v>
      </c>
      <c r="AB11" s="16" t="n">
        <f aca="false">K11*Z11/100</f>
        <v>0</v>
      </c>
      <c r="AC11" s="18" t="n">
        <f aca="false">$E11*Z11/100</f>
        <v>0</v>
      </c>
      <c r="AD11" s="2"/>
      <c r="AE11" s="19" t="n">
        <v>0</v>
      </c>
      <c r="AF11" s="13" t="n">
        <f aca="false">$C11*AE11/100</f>
        <v>0</v>
      </c>
      <c r="AG11" s="16" t="n">
        <f aca="false">$K11*AE11/100</f>
        <v>0</v>
      </c>
      <c r="AH11" s="18" t="n">
        <f aca="false">$E11*AE11/100</f>
        <v>0</v>
      </c>
      <c r="AI11" s="2"/>
      <c r="AJ11" s="19" t="n">
        <v>0</v>
      </c>
      <c r="AK11" s="13" t="n">
        <f aca="false">$C11*AJ11/100</f>
        <v>0</v>
      </c>
      <c r="AL11" s="16" t="n">
        <f aca="false">$K11*AJ11/100</f>
        <v>0</v>
      </c>
      <c r="AM11" s="18" t="n">
        <f aca="false">$E11*AJ11/100</f>
        <v>0</v>
      </c>
      <c r="AN11" s="2"/>
      <c r="AO11" s="19" t="n">
        <v>0</v>
      </c>
      <c r="AP11" s="13" t="n">
        <f aca="false">$C11*AO11/100</f>
        <v>0</v>
      </c>
      <c r="AQ11" s="16" t="n">
        <f aca="false">$K11*AO11/100</f>
        <v>0</v>
      </c>
      <c r="AR11" s="18" t="n">
        <f aca="false">$E11*AO11/100</f>
        <v>0</v>
      </c>
      <c r="AS11" s="2"/>
      <c r="AT11" s="19" t="n">
        <v>0</v>
      </c>
      <c r="AU11" s="13" t="n">
        <f aca="false">$C11*AT11/100</f>
        <v>0</v>
      </c>
      <c r="AV11" s="16" t="n">
        <f aca="false">$K11*AT11/100</f>
        <v>0</v>
      </c>
      <c r="AW11" s="18" t="n">
        <f aca="false">$E11*AT11/100</f>
        <v>0</v>
      </c>
    </row>
    <row r="12" customFormat="false" ht="13.8" hidden="false" customHeight="false" outlineLevel="0" collapsed="false">
      <c r="A12" s="29" t="s">
        <v>42</v>
      </c>
      <c r="B12" s="13" t="n">
        <v>15</v>
      </c>
      <c r="C12" s="13" t="n">
        <v>10</v>
      </c>
      <c r="D12" s="14" t="n">
        <f aca="false">B12*C12/100</f>
        <v>1.5</v>
      </c>
      <c r="E12" s="15" t="n">
        <f aca="false">$B$1*C12/100</f>
        <v>500</v>
      </c>
      <c r="F12" s="15" t="n">
        <v>0</v>
      </c>
      <c r="G12" s="15" t="n">
        <f aca="false">E12-F12</f>
        <v>500</v>
      </c>
      <c r="H12" s="15" t="n">
        <f aca="false">G12/($B$4)*2</f>
        <v>230.769230769231</v>
      </c>
      <c r="I12" s="15" t="n">
        <f aca="false">J12/2</f>
        <v>250</v>
      </c>
      <c r="J12" s="15" t="n">
        <f aca="false">G12/($B$3)</f>
        <v>500</v>
      </c>
      <c r="K12" s="15" t="n">
        <f aca="false">F12+H12/2*$B$5</f>
        <v>5538.46153846154</v>
      </c>
      <c r="L12" s="16" t="n">
        <f aca="false">(H12/2)*(1+B12/100/52)^(52-$B$4)*( ( (1+B12/100/52)^$B$4-1) / (B12/100/52) ) + F12*(1+B12/100/52)^(52)</f>
        <v>576.351131971307</v>
      </c>
      <c r="M12" s="16" t="n">
        <f aca="false">J12*(1+B12/100/12)^(12-$B$3)*(((1+B12/100/12)^$B$3-1)/(B12/100/12)) + F12*(1+B12/100/12)^(12)</f>
        <v>573.212107517528</v>
      </c>
      <c r="N12" s="2" t="n">
        <v>0</v>
      </c>
      <c r="O12" s="16" t="n">
        <f aca="false">N12*H12</f>
        <v>0</v>
      </c>
      <c r="P12" s="17" t="n">
        <v>24</v>
      </c>
      <c r="Q12" s="13" t="n">
        <f aca="false">C12*P12/100</f>
        <v>2.4</v>
      </c>
      <c r="R12" s="16" t="n">
        <f aca="false">K12*P12/100</f>
        <v>1329.23076923077</v>
      </c>
      <c r="S12" s="18" t="n">
        <f aca="false">$E12*P12/100</f>
        <v>120</v>
      </c>
      <c r="T12" s="2"/>
      <c r="U12" s="17" t="n">
        <v>2.3</v>
      </c>
      <c r="V12" s="13" t="n">
        <f aca="false">C12*U12/100</f>
        <v>0.23</v>
      </c>
      <c r="W12" s="16" t="n">
        <f aca="false">K12*U12/100</f>
        <v>127.384615384615</v>
      </c>
      <c r="X12" s="18" t="n">
        <f aca="false">$E12*U12/100</f>
        <v>11.5</v>
      </c>
      <c r="Y12" s="2"/>
      <c r="Z12" s="17" t="n">
        <v>0.1</v>
      </c>
      <c r="AA12" s="13" t="n">
        <f aca="false">C12*Z12/100</f>
        <v>0.01</v>
      </c>
      <c r="AB12" s="16" t="n">
        <f aca="false">K12*Z12/100</f>
        <v>5.53846153846154</v>
      </c>
      <c r="AC12" s="18" t="n">
        <f aca="false">$E12*Z12/100</f>
        <v>0.5</v>
      </c>
      <c r="AD12" s="2"/>
      <c r="AE12" s="19" t="n">
        <v>12</v>
      </c>
      <c r="AF12" s="13" t="n">
        <f aca="false">$C12*AE12/100</f>
        <v>1.2</v>
      </c>
      <c r="AG12" s="16" t="n">
        <f aca="false">$K12*AE12/100</f>
        <v>664.615384615385</v>
      </c>
      <c r="AH12" s="18" t="n">
        <f aca="false">$E12*AE12/100</f>
        <v>60</v>
      </c>
      <c r="AI12" s="2"/>
      <c r="AJ12" s="19" t="n">
        <v>13.2</v>
      </c>
      <c r="AK12" s="13" t="n">
        <f aca="false">$C12*AJ12/100</f>
        <v>1.32</v>
      </c>
      <c r="AL12" s="16" t="n">
        <f aca="false">$K12*AJ12/100</f>
        <v>731.076923076923</v>
      </c>
      <c r="AM12" s="18" t="n">
        <f aca="false">$E12*AJ12/100</f>
        <v>66</v>
      </c>
      <c r="AN12" s="2"/>
      <c r="AO12" s="19" t="n">
        <v>9</v>
      </c>
      <c r="AP12" s="13" t="n">
        <f aca="false">$C12*AO12/100</f>
        <v>0.9</v>
      </c>
      <c r="AQ12" s="16" t="n">
        <f aca="false">$K12*AO12/100</f>
        <v>498.461538461539</v>
      </c>
      <c r="AR12" s="18" t="n">
        <f aca="false">$E12*AO12/100</f>
        <v>45</v>
      </c>
      <c r="AS12" s="2"/>
      <c r="AT12" s="19" t="n">
        <v>0</v>
      </c>
      <c r="AU12" s="13" t="n">
        <f aca="false">$C12*AT12/100</f>
        <v>0</v>
      </c>
      <c r="AV12" s="16" t="n">
        <f aca="false">$K12*AT12/100</f>
        <v>0</v>
      </c>
      <c r="AW12" s="18" t="n">
        <f aca="false">$E12*AT12/100</f>
        <v>0</v>
      </c>
    </row>
    <row r="13" customFormat="false" ht="13.8" hidden="false" customHeight="false" outlineLevel="0" collapsed="false">
      <c r="A13" s="12" t="s">
        <v>43</v>
      </c>
      <c r="B13" s="13" t="n">
        <v>15</v>
      </c>
      <c r="C13" s="13" t="n">
        <v>10</v>
      </c>
      <c r="D13" s="14" t="n">
        <f aca="false">B13*C13/100</f>
        <v>1.5</v>
      </c>
      <c r="E13" s="15" t="n">
        <f aca="false">$B$1*C13/100</f>
        <v>500</v>
      </c>
      <c r="F13" s="15" t="n">
        <v>0</v>
      </c>
      <c r="G13" s="15" t="n">
        <f aca="false">E13-F13</f>
        <v>500</v>
      </c>
      <c r="H13" s="15" t="n">
        <f aca="false">G13/($B$4)*2</f>
        <v>230.769230769231</v>
      </c>
      <c r="I13" s="15" t="n">
        <f aca="false">J13/2</f>
        <v>250</v>
      </c>
      <c r="J13" s="15" t="n">
        <f aca="false">G13/($B$3)</f>
        <v>500</v>
      </c>
      <c r="K13" s="15" t="n">
        <f aca="false">F13+H13/2*$B$5</f>
        <v>5538.46153846154</v>
      </c>
      <c r="L13" s="16" t="n">
        <f aca="false">(H13/2)*(1+B13/100/52)^(52-$B$4)*( ( (1+B13/100/52)^$B$4-1) / (B13/100/52) ) + F13*(1+B13/100/52)^(52)</f>
        <v>576.351131971307</v>
      </c>
      <c r="M13" s="16" t="n">
        <f aca="false">J13*(1+B13/100/12)^(12-$B$3)*(((1+B13/100/12)^$B$3-1)/(B13/100/12)) + F13*(1+B13/100/12)^(12)</f>
        <v>573.212107517528</v>
      </c>
      <c r="N13" s="2" t="n">
        <v>0</v>
      </c>
      <c r="O13" s="16" t="n">
        <f aca="false">N13*H13</f>
        <v>0</v>
      </c>
      <c r="P13" s="17" t="n">
        <v>22.5</v>
      </c>
      <c r="Q13" s="13" t="n">
        <f aca="false">C13*P13/100</f>
        <v>2.25</v>
      </c>
      <c r="R13" s="16" t="n">
        <f aca="false">K13*P13/100</f>
        <v>1246.15384615385</v>
      </c>
      <c r="S13" s="18" t="n">
        <f aca="false">$E13*P13/100</f>
        <v>112.5</v>
      </c>
      <c r="T13" s="2"/>
      <c r="U13" s="17" t="n">
        <v>2.71</v>
      </c>
      <c r="V13" s="13" t="n">
        <f aca="false">C13*U13/100</f>
        <v>0.271</v>
      </c>
      <c r="W13" s="16" t="n">
        <f aca="false">K13*U13/100</f>
        <v>150.092307692308</v>
      </c>
      <c r="X13" s="18" t="n">
        <f aca="false">$E13*U13/100</f>
        <v>13.55</v>
      </c>
      <c r="Y13" s="2"/>
      <c r="Z13" s="17" t="n">
        <v>0</v>
      </c>
      <c r="AA13" s="13" t="n">
        <f aca="false">C13*Z13/100</f>
        <v>0</v>
      </c>
      <c r="AB13" s="16" t="n">
        <f aca="false">K13*Z13/100</f>
        <v>0</v>
      </c>
      <c r="AC13" s="18" t="n">
        <f aca="false">$E13*Z13/100</f>
        <v>0</v>
      </c>
      <c r="AD13" s="2"/>
      <c r="AE13" s="19" t="n">
        <v>12.61</v>
      </c>
      <c r="AF13" s="13" t="n">
        <f aca="false">$C13*AE13/100</f>
        <v>1.261</v>
      </c>
      <c r="AG13" s="16" t="n">
        <f aca="false">$K13*AE13/100</f>
        <v>698.4</v>
      </c>
      <c r="AH13" s="18" t="n">
        <f aca="false">$E13*AE13/100</f>
        <v>63.05</v>
      </c>
      <c r="AI13" s="2"/>
      <c r="AJ13" s="19" t="n">
        <v>14</v>
      </c>
      <c r="AK13" s="13" t="n">
        <f aca="false">$C13*AJ13/100</f>
        <v>1.4</v>
      </c>
      <c r="AL13" s="16" t="n">
        <f aca="false">$K13*AJ13/100</f>
        <v>775.384615384616</v>
      </c>
      <c r="AM13" s="18" t="n">
        <f aca="false">$E13*AJ13/100</f>
        <v>70</v>
      </c>
      <c r="AN13" s="2"/>
      <c r="AO13" s="19" t="n">
        <v>8</v>
      </c>
      <c r="AP13" s="13" t="n">
        <f aca="false">$C13*AO13/100</f>
        <v>0.8</v>
      </c>
      <c r="AQ13" s="16" t="n">
        <f aca="false">$K13*AO13/100</f>
        <v>443.076923076923</v>
      </c>
      <c r="AR13" s="18" t="n">
        <f aca="false">$E13*AO13/100</f>
        <v>40</v>
      </c>
      <c r="AS13" s="2"/>
      <c r="AT13" s="19" t="n">
        <v>0</v>
      </c>
      <c r="AU13" s="13" t="n">
        <f aca="false">$C13*AT13/100</f>
        <v>0</v>
      </c>
      <c r="AV13" s="16" t="n">
        <f aca="false">$K13*AT13/100</f>
        <v>0</v>
      </c>
      <c r="AW13" s="18" t="n">
        <f aca="false">$E13*AT13/100</f>
        <v>0</v>
      </c>
    </row>
    <row r="14" customFormat="false" ht="13.8" hidden="false" customHeight="false" outlineLevel="0" collapsed="false">
      <c r="A14" s="12" t="s">
        <v>44</v>
      </c>
      <c r="B14" s="13" t="n">
        <v>15</v>
      </c>
      <c r="C14" s="13" t="n">
        <v>10</v>
      </c>
      <c r="D14" s="14" t="n">
        <f aca="false">B14*C14/100</f>
        <v>1.5</v>
      </c>
      <c r="E14" s="15" t="n">
        <f aca="false">$B$1*C14/100</f>
        <v>500</v>
      </c>
      <c r="F14" s="15" t="n">
        <v>0</v>
      </c>
      <c r="G14" s="15" t="n">
        <f aca="false">E14-F14</f>
        <v>500</v>
      </c>
      <c r="H14" s="15" t="n">
        <f aca="false">G14/($B$4)*2</f>
        <v>230.769230769231</v>
      </c>
      <c r="I14" s="15" t="n">
        <f aca="false">J14/2</f>
        <v>250</v>
      </c>
      <c r="J14" s="15" t="n">
        <f aca="false">G14/($B$3)</f>
        <v>500</v>
      </c>
      <c r="K14" s="15" t="n">
        <f aca="false">F14+H14/2*$B$5</f>
        <v>5538.46153846154</v>
      </c>
      <c r="L14" s="16" t="n">
        <f aca="false">(H14/2)*(1+B14/100/52)^(52-$B$4)*( ( (1+B14/100/52)^$B$4-1) / (B14/100/52) ) + F14*(1+B14/100/52)^(52)</f>
        <v>576.351131971307</v>
      </c>
      <c r="M14" s="16" t="n">
        <f aca="false">J14*(1+B14/100/12)^(12-$B$3)*(((1+B14/100/12)^$B$3-1)/(B14/100/12)) + F14*(1+B14/100/12)^(12)</f>
        <v>573.212107517528</v>
      </c>
      <c r="N14" s="2" t="n">
        <v>0</v>
      </c>
      <c r="O14" s="16" t="n">
        <f aca="false">N14*H14</f>
        <v>0</v>
      </c>
      <c r="P14" s="17" t="n">
        <v>15.1</v>
      </c>
      <c r="Q14" s="13" t="n">
        <f aca="false">C14*P14/100</f>
        <v>1.51</v>
      </c>
      <c r="R14" s="16" t="n">
        <f aca="false">K14*P14/100</f>
        <v>836.307692307693</v>
      </c>
      <c r="S14" s="18" t="n">
        <f aca="false">$E14*P14/100</f>
        <v>75.5</v>
      </c>
      <c r="T14" s="2"/>
      <c r="U14" s="17" t="n">
        <v>0</v>
      </c>
      <c r="V14" s="13" t="n">
        <f aca="false">C14*U14/100</f>
        <v>0</v>
      </c>
      <c r="W14" s="16" t="n">
        <f aca="false">K14*U14/100</f>
        <v>0</v>
      </c>
      <c r="X14" s="18" t="n">
        <f aca="false">$E14*U14/100</f>
        <v>0</v>
      </c>
      <c r="Y14" s="2"/>
      <c r="Z14" s="17" t="n">
        <v>0</v>
      </c>
      <c r="AA14" s="13" t="n">
        <f aca="false">C14*Z14/100</f>
        <v>0</v>
      </c>
      <c r="AB14" s="16" t="n">
        <f aca="false">K14*Z14/100</f>
        <v>0</v>
      </c>
      <c r="AC14" s="18" t="n">
        <f aca="false">$E14*Z14/100</f>
        <v>0</v>
      </c>
      <c r="AD14" s="2"/>
      <c r="AE14" s="19" t="n">
        <v>7.9</v>
      </c>
      <c r="AF14" s="13" t="n">
        <f aca="false">$C14*AE14/100</f>
        <v>0.79</v>
      </c>
      <c r="AG14" s="16" t="n">
        <f aca="false">$K14*AE14/100</f>
        <v>437.538461538462</v>
      </c>
      <c r="AH14" s="18" t="n">
        <f aca="false">$E14*AE14/100</f>
        <v>39.5</v>
      </c>
      <c r="AI14" s="2"/>
      <c r="AJ14" s="19" t="n">
        <v>5.7</v>
      </c>
      <c r="AK14" s="13" t="n">
        <f aca="false">$C14*AJ14/100</f>
        <v>0.57</v>
      </c>
      <c r="AL14" s="16" t="n">
        <f aca="false">$K14*AJ14/100</f>
        <v>315.692307692308</v>
      </c>
      <c r="AM14" s="18" t="n">
        <f aca="false">$E14*AJ14/100</f>
        <v>28.5</v>
      </c>
      <c r="AN14" s="2"/>
      <c r="AO14" s="19" t="n">
        <v>0</v>
      </c>
      <c r="AP14" s="13" t="n">
        <f aca="false">$C14*AO14/100</f>
        <v>0</v>
      </c>
      <c r="AQ14" s="16" t="n">
        <f aca="false">$K14*AO14/100</f>
        <v>0</v>
      </c>
      <c r="AR14" s="18" t="n">
        <f aca="false">$E14*AO14/100</f>
        <v>0</v>
      </c>
      <c r="AS14" s="2"/>
      <c r="AT14" s="19" t="n">
        <v>0</v>
      </c>
      <c r="AU14" s="13" t="n">
        <f aca="false">$C14*AT14/100</f>
        <v>0</v>
      </c>
      <c r="AV14" s="16" t="n">
        <f aca="false">$K14*AT14/100</f>
        <v>0</v>
      </c>
      <c r="AW14" s="18" t="n">
        <f aca="false">$E14*AT14/100</f>
        <v>0</v>
      </c>
    </row>
    <row r="15" customFormat="false" ht="13.8" hidden="false" customHeight="false" outlineLevel="0" collapsed="false">
      <c r="A15" s="12" t="s">
        <v>45</v>
      </c>
      <c r="B15" s="13" t="n">
        <v>13</v>
      </c>
      <c r="C15" s="13" t="n">
        <v>7</v>
      </c>
      <c r="D15" s="14" t="n">
        <f aca="false">B15*C15/100</f>
        <v>0.91</v>
      </c>
      <c r="E15" s="15" t="n">
        <f aca="false">$B$1*C15/100</f>
        <v>350</v>
      </c>
      <c r="F15" s="15" t="n">
        <v>0</v>
      </c>
      <c r="G15" s="15" t="n">
        <f aca="false">E15-F15</f>
        <v>350</v>
      </c>
      <c r="H15" s="15" t="n">
        <f aca="false">G15/($B$4)*2</f>
        <v>161.538461538462</v>
      </c>
      <c r="I15" s="15" t="n">
        <f aca="false">J15/2</f>
        <v>175</v>
      </c>
      <c r="J15" s="15" t="n">
        <f aca="false">G15/($B$3)</f>
        <v>350</v>
      </c>
      <c r="K15" s="15" t="n">
        <f aca="false">F15+H15/2*$B$5</f>
        <v>3876.92307692308</v>
      </c>
      <c r="L15" s="16" t="n">
        <f aca="false">(H15/2)*(1+B15/100/52)^(52-$B$4)*( ( (1+B15/100/52)^$B$4-1) / (B15/100/52) ) + F15*(1+B15/100/52)^(52)</f>
        <v>395.882399302346</v>
      </c>
      <c r="M15" s="16" t="n">
        <f aca="false">J15*(1+B15/100/12)^(12-$B$3)*(((1+B15/100/12)^$B$3-1)/(B15/100/12)) + F15*(1+B15/100/12)^(12)</f>
        <v>394.042574013046</v>
      </c>
      <c r="N15" s="2" t="n">
        <v>0</v>
      </c>
      <c r="O15" s="16" t="n">
        <f aca="false">N15*H15</f>
        <v>0</v>
      </c>
      <c r="P15" s="17" t="n">
        <v>13.9</v>
      </c>
      <c r="Q15" s="13" t="n">
        <f aca="false">C15*P15/100</f>
        <v>0.973</v>
      </c>
      <c r="R15" s="16" t="n">
        <f aca="false">K15*P15/100</f>
        <v>538.892307692308</v>
      </c>
      <c r="S15" s="18" t="n">
        <f aca="false">$E15*P15/100</f>
        <v>48.65</v>
      </c>
      <c r="T15" s="2"/>
      <c r="U15" s="17" t="n">
        <v>3.44</v>
      </c>
      <c r="V15" s="13" t="n">
        <f aca="false">C15*U15/100</f>
        <v>0.2408</v>
      </c>
      <c r="W15" s="16" t="n">
        <f aca="false">K15*U15/100</f>
        <v>133.366153846154</v>
      </c>
      <c r="X15" s="18" t="n">
        <f aca="false">$E15*U15/100</f>
        <v>12.04</v>
      </c>
      <c r="Y15" s="2"/>
      <c r="Z15" s="17" t="n">
        <v>0</v>
      </c>
      <c r="AA15" s="13" t="n">
        <f aca="false">C15*Z15/100</f>
        <v>0</v>
      </c>
      <c r="AB15" s="16" t="n">
        <f aca="false">K15*Z15/100</f>
        <v>0</v>
      </c>
      <c r="AC15" s="18" t="n">
        <f aca="false">$E15*Z15/100</f>
        <v>0</v>
      </c>
      <c r="AD15" s="2"/>
      <c r="AE15" s="19" t="n">
        <v>9.36</v>
      </c>
      <c r="AF15" s="13" t="n">
        <f aca="false">$C15*AE15/100</f>
        <v>0.6552</v>
      </c>
      <c r="AG15" s="16" t="n">
        <f aca="false">$K15*AE15/100</f>
        <v>362.88</v>
      </c>
      <c r="AH15" s="18" t="n">
        <f aca="false">$E15*AE15/100</f>
        <v>32.76</v>
      </c>
      <c r="AI15" s="2"/>
      <c r="AJ15" s="19" t="n">
        <v>10.28</v>
      </c>
      <c r="AK15" s="13" t="n">
        <f aca="false">$C15*AJ15/100</f>
        <v>0.7196</v>
      </c>
      <c r="AL15" s="16" t="n">
        <f aca="false">$K15*AJ15/100</f>
        <v>398.547692307693</v>
      </c>
      <c r="AM15" s="18" t="n">
        <f aca="false">$E15*AJ15/100</f>
        <v>35.98</v>
      </c>
      <c r="AN15" s="2"/>
      <c r="AO15" s="19" t="n">
        <v>8.2</v>
      </c>
      <c r="AP15" s="13" t="n">
        <f aca="false">$C15*AO15/100</f>
        <v>0.574</v>
      </c>
      <c r="AQ15" s="16" t="n">
        <f aca="false">$K15*AO15/100</f>
        <v>317.907692307693</v>
      </c>
      <c r="AR15" s="18" t="n">
        <f aca="false">$E15*AO15/100</f>
        <v>28.7</v>
      </c>
      <c r="AS15" s="2"/>
      <c r="AT15" s="19" t="n">
        <v>0</v>
      </c>
      <c r="AU15" s="13" t="n">
        <f aca="false">$C15*AT15/100</f>
        <v>0</v>
      </c>
      <c r="AV15" s="16" t="n">
        <f aca="false">$K15*AT15/100</f>
        <v>0</v>
      </c>
      <c r="AW15" s="18" t="n">
        <f aca="false">$E15*AT15/100</f>
        <v>0</v>
      </c>
    </row>
    <row r="16" customFormat="false" ht="13.8" hidden="false" customHeight="false" outlineLevel="0" collapsed="false">
      <c r="A16" s="12" t="s">
        <v>46</v>
      </c>
      <c r="B16" s="13" t="n">
        <v>10</v>
      </c>
      <c r="C16" s="13" t="n">
        <v>5</v>
      </c>
      <c r="D16" s="14" t="n">
        <f aca="false">B16*C16/100</f>
        <v>0.5</v>
      </c>
      <c r="E16" s="15" t="n">
        <f aca="false">$B$1*C16/100</f>
        <v>250</v>
      </c>
      <c r="F16" s="15" t="n">
        <v>0</v>
      </c>
      <c r="G16" s="15" t="n">
        <f aca="false">E16-F16</f>
        <v>250</v>
      </c>
      <c r="H16" s="15" t="n">
        <f aca="false">G16/($B$4)*2</f>
        <v>115.384615384615</v>
      </c>
      <c r="I16" s="15" t="n">
        <f aca="false">J16/2</f>
        <v>125</v>
      </c>
      <c r="J16" s="15" t="n">
        <f aca="false">G16/($B$3)</f>
        <v>250</v>
      </c>
      <c r="K16" s="15" t="n">
        <f aca="false">F16+H16/2*$B$5</f>
        <v>2769.23076923077</v>
      </c>
      <c r="L16" s="16" t="n">
        <f aca="false">(H16/2)*(1+B16/100/52)^(52-$B$4)*( ( (1+B16/100/52)^$B$4-1) / (B16/100/52) ) + F16*(1+B16/100/52)^(52)</f>
        <v>274.855180008503</v>
      </c>
      <c r="M16" s="16" t="n">
        <f aca="false">J16*(1+B16/100/12)^(12-$B$3)*(((1+B16/100/12)^$B$3-1)/(B16/100/12)) + F16*(1+B16/100/12)^(12)</f>
        <v>273.895801844949</v>
      </c>
      <c r="N16" s="2" t="n">
        <v>0</v>
      </c>
      <c r="O16" s="16" t="n">
        <f aca="false">N16*H16</f>
        <v>0</v>
      </c>
      <c r="P16" s="17" t="n">
        <v>22.4</v>
      </c>
      <c r="Q16" s="13" t="n">
        <f aca="false">C16*P16/100</f>
        <v>1.12</v>
      </c>
      <c r="R16" s="16" t="n">
        <f aca="false">K16*P16/100</f>
        <v>620.307692307693</v>
      </c>
      <c r="S16" s="18" t="n">
        <f aca="false">$E16*P16/100</f>
        <v>56</v>
      </c>
      <c r="T16" s="2"/>
      <c r="U16" s="17" t="n">
        <v>2.71</v>
      </c>
      <c r="V16" s="13" t="n">
        <f aca="false">C16*U16/100</f>
        <v>0.1355</v>
      </c>
      <c r="W16" s="16" t="n">
        <f aca="false">K16*U16/100</f>
        <v>75.0461538461539</v>
      </c>
      <c r="X16" s="18" t="n">
        <f aca="false">$E16*U16/100</f>
        <v>6.775</v>
      </c>
      <c r="Y16" s="2"/>
      <c r="Z16" s="17" t="n">
        <v>0</v>
      </c>
      <c r="AA16" s="13" t="n">
        <f aca="false">C16*Z16/100</f>
        <v>0</v>
      </c>
      <c r="AB16" s="16" t="n">
        <f aca="false">K16*Z16/100</f>
        <v>0</v>
      </c>
      <c r="AC16" s="18" t="n">
        <f aca="false">$E16*Z16/100</f>
        <v>0</v>
      </c>
      <c r="AD16" s="2"/>
      <c r="AE16" s="19" t="n">
        <v>12.6</v>
      </c>
      <c r="AF16" s="13" t="n">
        <f aca="false">$C16*AE16/100</f>
        <v>0.63</v>
      </c>
      <c r="AG16" s="16" t="n">
        <f aca="false">$K16*AE16/100</f>
        <v>348.923076923077</v>
      </c>
      <c r="AH16" s="18" t="n">
        <f aca="false">$E16*AE16/100</f>
        <v>31.5</v>
      </c>
      <c r="AI16" s="2"/>
      <c r="AJ16" s="19" t="n">
        <v>14</v>
      </c>
      <c r="AK16" s="13" t="n">
        <f aca="false">$C16*AJ16/100</f>
        <v>0.7</v>
      </c>
      <c r="AL16" s="16" t="n">
        <f aca="false">$K16*AJ16/100</f>
        <v>387.692307692308</v>
      </c>
      <c r="AM16" s="18" t="n">
        <f aca="false">$E16*AJ16/100</f>
        <v>35</v>
      </c>
      <c r="AN16" s="2"/>
      <c r="AO16" s="19" t="n">
        <v>8</v>
      </c>
      <c r="AP16" s="13" t="n">
        <f aca="false">$C16*AO16/100</f>
        <v>0.4</v>
      </c>
      <c r="AQ16" s="16" t="n">
        <f aca="false">$K16*AO16/100</f>
        <v>221.538461538462</v>
      </c>
      <c r="AR16" s="18" t="n">
        <f aca="false">$E16*AO16/100</f>
        <v>20</v>
      </c>
      <c r="AS16" s="2"/>
      <c r="AT16" s="19" t="n">
        <v>0</v>
      </c>
      <c r="AU16" s="13" t="n">
        <f aca="false">$C16*AT16/100</f>
        <v>0</v>
      </c>
      <c r="AV16" s="16" t="n">
        <f aca="false">$K16*AT16/100</f>
        <v>0</v>
      </c>
      <c r="AW16" s="18" t="n">
        <f aca="false">$E16*AT16/100</f>
        <v>0</v>
      </c>
    </row>
    <row r="17" customFormat="false" ht="13.8" hidden="false" customHeight="false" outlineLevel="0" collapsed="false">
      <c r="A17" s="12" t="s">
        <v>47</v>
      </c>
      <c r="B17" s="13" t="n">
        <v>14</v>
      </c>
      <c r="C17" s="13" t="n">
        <v>7</v>
      </c>
      <c r="D17" s="14" t="n">
        <f aca="false">B17*C17/100</f>
        <v>0.98</v>
      </c>
      <c r="E17" s="15" t="n">
        <f aca="false">$B$1*C17/100</f>
        <v>350</v>
      </c>
      <c r="F17" s="15" t="n">
        <v>0</v>
      </c>
      <c r="G17" s="15" t="n">
        <f aca="false">E17-F17</f>
        <v>350</v>
      </c>
      <c r="H17" s="15" t="n">
        <f aca="false">G17/($B$4)*2</f>
        <v>161.538461538462</v>
      </c>
      <c r="I17" s="15" t="n">
        <f aca="false">J17/2</f>
        <v>175</v>
      </c>
      <c r="J17" s="15" t="n">
        <f aca="false">G17/($B$3)</f>
        <v>350</v>
      </c>
      <c r="K17" s="15" t="n">
        <f aca="false">F17+H17/2*$B$5</f>
        <v>3876.92307692308</v>
      </c>
      <c r="L17" s="16" t="n">
        <f aca="false">(H17/2)*(1+B17/100/52)^(52-$B$4)*( ( (1+B17/100/52)^$B$4-1) / (B17/100/52) ) + F17*(1+B17/100/52)^(52)</f>
        <v>399.646555633983</v>
      </c>
      <c r="M17" s="16" t="n">
        <f aca="false">J17*(1+B17/100/12)^(12-$B$3)*(((1+B17/100/12)^$B$3-1)/(B17/100/12)) + F17*(1+B17/100/12)^(12)</f>
        <v>397.630685557667</v>
      </c>
      <c r="N17" s="2" t="n">
        <v>0</v>
      </c>
      <c r="O17" s="16" t="n">
        <f aca="false">N17*H17</f>
        <v>0</v>
      </c>
      <c r="P17" s="17" t="n">
        <v>0</v>
      </c>
      <c r="Q17" s="13" t="n">
        <f aca="false">C17*P17/100</f>
        <v>0</v>
      </c>
      <c r="R17" s="16" t="n">
        <f aca="false">K17*P17/100</f>
        <v>0</v>
      </c>
      <c r="S17" s="18" t="n">
        <f aca="false">$E17*P17/100</f>
        <v>0</v>
      </c>
      <c r="T17" s="2"/>
      <c r="U17" s="17" t="n">
        <v>100</v>
      </c>
      <c r="V17" s="13" t="n">
        <f aca="false">C17*U17/100</f>
        <v>7</v>
      </c>
      <c r="W17" s="16" t="n">
        <f aca="false">K17*U17/100</f>
        <v>3876.92307692308</v>
      </c>
      <c r="X17" s="18" t="n">
        <f aca="false">$E17*U17/100</f>
        <v>350</v>
      </c>
      <c r="Y17" s="2"/>
      <c r="Z17" s="17" t="n">
        <v>1.84</v>
      </c>
      <c r="AA17" s="13" t="n">
        <f aca="false">C17*Z17/100</f>
        <v>0.1288</v>
      </c>
      <c r="AB17" s="16" t="n">
        <f aca="false">K17*Z17/100</f>
        <v>71.3353846153847</v>
      </c>
      <c r="AC17" s="18" t="n">
        <f aca="false">$E17*Z17/100</f>
        <v>6.44</v>
      </c>
      <c r="AD17" s="2"/>
      <c r="AE17" s="19" t="n">
        <v>0</v>
      </c>
      <c r="AF17" s="13" t="n">
        <f aca="false">$C17*AE17/100</f>
        <v>0</v>
      </c>
      <c r="AG17" s="16" t="n">
        <f aca="false">$K17*AE17/100</f>
        <v>0</v>
      </c>
      <c r="AH17" s="18" t="n">
        <f aca="false">$E17*AE17/100</f>
        <v>0</v>
      </c>
      <c r="AI17" s="2"/>
      <c r="AJ17" s="19" t="n">
        <v>0</v>
      </c>
      <c r="AK17" s="13" t="n">
        <f aca="false">$C17*AJ17/100</f>
        <v>0</v>
      </c>
      <c r="AL17" s="16" t="n">
        <f aca="false">$K17*AJ17/100</f>
        <v>0</v>
      </c>
      <c r="AM17" s="18" t="n">
        <f aca="false">$E17*AJ17/100</f>
        <v>0</v>
      </c>
      <c r="AN17" s="2"/>
      <c r="AO17" s="19" t="n">
        <v>0</v>
      </c>
      <c r="AP17" s="13" t="n">
        <f aca="false">$C17*AO17/100</f>
        <v>0</v>
      </c>
      <c r="AQ17" s="16" t="n">
        <f aca="false">$K17*AO17/100</f>
        <v>0</v>
      </c>
      <c r="AR17" s="18" t="n">
        <f aca="false">$E17*AO17/100</f>
        <v>0</v>
      </c>
      <c r="AS17" s="2"/>
      <c r="AT17" s="19" t="n">
        <v>0</v>
      </c>
      <c r="AU17" s="13" t="n">
        <f aca="false">$C17*AT17/100</f>
        <v>0</v>
      </c>
      <c r="AV17" s="16" t="n">
        <f aca="false">$K17*AT17/100</f>
        <v>0</v>
      </c>
      <c r="AW17" s="18" t="n">
        <f aca="false">$E17*AT17/100</f>
        <v>0</v>
      </c>
    </row>
    <row r="18" customFormat="false" ht="13.8" hidden="false" customHeight="false" outlineLevel="0" collapsed="false">
      <c r="A18" s="12" t="s">
        <v>48</v>
      </c>
      <c r="B18" s="13" t="n">
        <v>10</v>
      </c>
      <c r="C18" s="13" t="n">
        <v>0</v>
      </c>
      <c r="D18" s="14" t="n">
        <f aca="false">B18*C18/100</f>
        <v>0</v>
      </c>
      <c r="E18" s="15" t="n">
        <f aca="false">$B$1*C18/100</f>
        <v>0</v>
      </c>
      <c r="F18" s="15" t="n">
        <v>0</v>
      </c>
      <c r="G18" s="15" t="n">
        <f aca="false">E18-F18</f>
        <v>0</v>
      </c>
      <c r="H18" s="15" t="n">
        <f aca="false">G18/($B$4)*2</f>
        <v>0</v>
      </c>
      <c r="I18" s="15" t="n">
        <f aca="false">J18/2</f>
        <v>0</v>
      </c>
      <c r="J18" s="15" t="n">
        <f aca="false">G18/($B$3)</f>
        <v>0</v>
      </c>
      <c r="K18" s="15" t="n">
        <f aca="false">F18+H18/2*$B$5</f>
        <v>0</v>
      </c>
      <c r="L18" s="16" t="n">
        <f aca="false">(H18/2)*(1+B18/100/52)^(52-$B$4)*( ( (1+B18/100/52)^$B$4-1) / (B18/100/52) ) + F18*(1+B18/100/52)^(52)</f>
        <v>0</v>
      </c>
      <c r="M18" s="16" t="n">
        <f aca="false">J18*(1+B18/100/12)^(12-$B$3)*(((1+B18/100/12)^$B$3-1)/(B18/100/12)) + F18*(1+B18/100/12)^(12)</f>
        <v>0</v>
      </c>
      <c r="N18" s="2" t="n">
        <v>0</v>
      </c>
      <c r="O18" s="16" t="n">
        <f aca="false">N18*H18</f>
        <v>0</v>
      </c>
      <c r="P18" s="17" t="n">
        <v>0</v>
      </c>
      <c r="Q18" s="13" t="n">
        <f aca="false">C18*P18/100</f>
        <v>0</v>
      </c>
      <c r="R18" s="16" t="n">
        <f aca="false">K18*P18/100</f>
        <v>0</v>
      </c>
      <c r="S18" s="18" t="n">
        <f aca="false">$E18*P18/100</f>
        <v>0</v>
      </c>
      <c r="T18" s="2"/>
      <c r="U18" s="17" t="n">
        <v>0</v>
      </c>
      <c r="V18" s="13" t="n">
        <f aca="false">C18*U18/100</f>
        <v>0</v>
      </c>
      <c r="W18" s="16" t="n">
        <f aca="false">K18*U18/100</f>
        <v>0</v>
      </c>
      <c r="X18" s="18" t="n">
        <f aca="false">$E18*U18/100</f>
        <v>0</v>
      </c>
      <c r="Y18" s="2"/>
      <c r="Z18" s="17" t="n">
        <v>0</v>
      </c>
      <c r="AA18" s="13" t="n">
        <f aca="false">C18*Z18/100</f>
        <v>0</v>
      </c>
      <c r="AB18" s="16" t="n">
        <f aca="false">K18*Z18/100</f>
        <v>0</v>
      </c>
      <c r="AC18" s="18" t="n">
        <f aca="false">$E18*Z18/100</f>
        <v>0</v>
      </c>
      <c r="AD18" s="2"/>
      <c r="AE18" s="19" t="n">
        <v>0</v>
      </c>
      <c r="AF18" s="13" t="n">
        <f aca="false">$C18*AE18/100</f>
        <v>0</v>
      </c>
      <c r="AG18" s="16" t="n">
        <f aca="false">$K18*AE18/100</f>
        <v>0</v>
      </c>
      <c r="AH18" s="18" t="n">
        <f aca="false">$E18*AE18/100</f>
        <v>0</v>
      </c>
      <c r="AI18" s="2"/>
      <c r="AJ18" s="19" t="n">
        <v>0</v>
      </c>
      <c r="AK18" s="13" t="n">
        <f aca="false">$C18*AJ18/100</f>
        <v>0</v>
      </c>
      <c r="AL18" s="16" t="n">
        <f aca="false">$K18*AJ18/100</f>
        <v>0</v>
      </c>
      <c r="AM18" s="18" t="n">
        <f aca="false">$E18*AJ18/100</f>
        <v>0</v>
      </c>
      <c r="AN18" s="2"/>
      <c r="AO18" s="19" t="n">
        <v>0</v>
      </c>
      <c r="AP18" s="13" t="n">
        <f aca="false">$C18*AO18/100</f>
        <v>0</v>
      </c>
      <c r="AQ18" s="16" t="n">
        <f aca="false">$K18*AO18/100</f>
        <v>0</v>
      </c>
      <c r="AR18" s="18" t="n">
        <f aca="false">$E18*AO18/100</f>
        <v>0</v>
      </c>
      <c r="AS18" s="2"/>
      <c r="AT18" s="19" t="n">
        <v>100</v>
      </c>
      <c r="AU18" s="13" t="n">
        <f aca="false">$C18*AT18/100</f>
        <v>0</v>
      </c>
      <c r="AV18" s="16" t="n">
        <f aca="false">$K18*AT18/100</f>
        <v>0</v>
      </c>
      <c r="AW18" s="18" t="n">
        <f aca="false">$E18*AT18/100</f>
        <v>0</v>
      </c>
    </row>
    <row r="19" customFormat="false" ht="13.8" hidden="false" customHeight="false" outlineLevel="0" collapsed="false">
      <c r="A19" s="12" t="s">
        <v>49</v>
      </c>
      <c r="B19" s="13" t="n">
        <v>8</v>
      </c>
      <c r="C19" s="13" t="n">
        <v>9</v>
      </c>
      <c r="D19" s="14" t="n">
        <f aca="false">B19*C19/100</f>
        <v>0.72</v>
      </c>
      <c r="E19" s="15" t="n">
        <f aca="false">$B$1*C19/100</f>
        <v>450</v>
      </c>
      <c r="F19" s="15" t="n">
        <v>0</v>
      </c>
      <c r="G19" s="15" t="n">
        <f aca="false">E19-F19</f>
        <v>450</v>
      </c>
      <c r="H19" s="15" t="n">
        <f aca="false">G19/($B$4)*2</f>
        <v>207.692307692308</v>
      </c>
      <c r="I19" s="15" t="n">
        <f aca="false">J19/2</f>
        <v>225</v>
      </c>
      <c r="J19" s="15" t="n">
        <f aca="false">G19/($B$3)</f>
        <v>450</v>
      </c>
      <c r="K19" s="15" t="n">
        <f aca="false">F19+H19/2*$B$5</f>
        <v>4984.61538461539</v>
      </c>
      <c r="L19" s="16" t="n">
        <f aca="false">(H19/2)*(1+B19/100/52)^(52-$B$4)*( ( (1+B19/100/52)^$B$4-1) / (B19/100/52) ) + F19*(1+B19/100/52)^(52)</f>
        <v>485.455898521113</v>
      </c>
      <c r="M19" s="16" t="n">
        <f aca="false">J19*(1+B19/100/12)^(12-$B$3)*(((1+B19/100/12)^$B$3-1)/(B19/100/12)) + F19*(1+B19/100/12)^(12)</f>
        <v>484.122296089445</v>
      </c>
      <c r="N19" s="2" t="n">
        <v>0</v>
      </c>
      <c r="O19" s="16" t="n">
        <f aca="false">N19*H19</f>
        <v>0</v>
      </c>
      <c r="P19" s="17" t="n">
        <v>0</v>
      </c>
      <c r="Q19" s="13" t="n">
        <f aca="false">C19*P19/100</f>
        <v>0</v>
      </c>
      <c r="R19" s="16" t="n">
        <f aca="false">K19*P19/100</f>
        <v>0</v>
      </c>
      <c r="S19" s="18" t="n">
        <f aca="false">$E19*P19/100</f>
        <v>0</v>
      </c>
      <c r="T19" s="2"/>
      <c r="U19" s="17" t="n">
        <v>0</v>
      </c>
      <c r="V19" s="13" t="n">
        <f aca="false">C19*U19/100</f>
        <v>0</v>
      </c>
      <c r="W19" s="16" t="n">
        <f aca="false">K19*U19/100</f>
        <v>0</v>
      </c>
      <c r="X19" s="18" t="n">
        <f aca="false">$E19*U19/100</f>
        <v>0</v>
      </c>
      <c r="Y19" s="2"/>
      <c r="Z19" s="17" t="n">
        <v>100</v>
      </c>
      <c r="AA19" s="13" t="n">
        <f aca="false">C19*Z19/100</f>
        <v>9</v>
      </c>
      <c r="AB19" s="16" t="n">
        <f aca="false">K19*Z19/100</f>
        <v>4984.61538461539</v>
      </c>
      <c r="AC19" s="18" t="n">
        <f aca="false">$E19*Z19/100</f>
        <v>450</v>
      </c>
      <c r="AD19" s="2"/>
      <c r="AE19" s="19" t="n">
        <v>0</v>
      </c>
      <c r="AF19" s="13" t="n">
        <f aca="false">$C19*AE19/100</f>
        <v>0</v>
      </c>
      <c r="AG19" s="16" t="n">
        <f aca="false">$K19*AE19/100</f>
        <v>0</v>
      </c>
      <c r="AH19" s="18" t="n">
        <f aca="false">$E19*AE19/100</f>
        <v>0</v>
      </c>
      <c r="AI19" s="2"/>
      <c r="AJ19" s="19" t="n">
        <v>0</v>
      </c>
      <c r="AK19" s="13" t="n">
        <f aca="false">$C19*AJ19/100</f>
        <v>0</v>
      </c>
      <c r="AL19" s="16" t="n">
        <f aca="false">$K19*AJ19/100</f>
        <v>0</v>
      </c>
      <c r="AM19" s="18" t="n">
        <f aca="false">$E19*AJ19/100</f>
        <v>0</v>
      </c>
      <c r="AN19" s="2"/>
      <c r="AO19" s="19" t="n">
        <v>0</v>
      </c>
      <c r="AP19" s="13" t="n">
        <f aca="false">$C19*AO19/100</f>
        <v>0</v>
      </c>
      <c r="AQ19" s="16" t="n">
        <f aca="false">$K19*AO19/100</f>
        <v>0</v>
      </c>
      <c r="AR19" s="18" t="n">
        <f aca="false">$E19*AO19/100</f>
        <v>0</v>
      </c>
      <c r="AS19" s="2"/>
      <c r="AT19" s="19" t="n">
        <v>0</v>
      </c>
      <c r="AU19" s="13" t="n">
        <f aca="false">$C19*AT19/100</f>
        <v>0</v>
      </c>
      <c r="AV19" s="16" t="n">
        <f aca="false">$K19*AT19/100</f>
        <v>0</v>
      </c>
      <c r="AW19" s="18" t="n">
        <f aca="false">$E19*AT19/100</f>
        <v>0</v>
      </c>
    </row>
    <row r="20" customFormat="false" ht="13.8" hidden="false" customHeight="false" outlineLevel="0" collapsed="false">
      <c r="A20" s="12" t="s">
        <v>50</v>
      </c>
      <c r="B20" s="13" t="n">
        <v>20</v>
      </c>
      <c r="C20" s="13" t="n">
        <v>5</v>
      </c>
      <c r="D20" s="14" t="n">
        <f aca="false">B20*C20/100</f>
        <v>1</v>
      </c>
      <c r="E20" s="15" t="n">
        <f aca="false">$B$1*C20/100</f>
        <v>250</v>
      </c>
      <c r="F20" s="15" t="n">
        <v>0</v>
      </c>
      <c r="G20" s="15" t="n">
        <f aca="false">E20-F20</f>
        <v>250</v>
      </c>
      <c r="H20" s="15" t="n">
        <f aca="false">G20/($B$4)*2</f>
        <v>115.384615384615</v>
      </c>
      <c r="I20" s="15" t="n">
        <f aca="false">J20/2</f>
        <v>125</v>
      </c>
      <c r="J20" s="15" t="n">
        <f aca="false">G20/($B$3)</f>
        <v>250</v>
      </c>
      <c r="K20" s="15" t="n">
        <f aca="false">F20+H20/2*$B$5</f>
        <v>2769.23076923077</v>
      </c>
      <c r="L20" s="16" t="n">
        <f aca="false">(H20/2)*(1+B20/100/52)^(52-$B$4)*( ( (1+B20/100/52)^$B$4-1) / (B20/100/52) ) + F20*(1+B20/100/52)^(52)</f>
        <v>302.128210298181</v>
      </c>
      <c r="M20" s="16" t="n">
        <f aca="false">J20*(1+B20/100/12)^(12-$B$3)*(((1+B20/100/12)^$B$3-1)/(B20/100/12)) + F20*(1+B20/100/12)^(12)</f>
        <v>299.850266779974</v>
      </c>
      <c r="N20" s="2" t="n">
        <v>0</v>
      </c>
      <c r="O20" s="16" t="n">
        <f aca="false">N20*H20</f>
        <v>0</v>
      </c>
      <c r="P20" s="17" t="n">
        <v>20</v>
      </c>
      <c r="Q20" s="13" t="n">
        <f aca="false">C20*P20/100</f>
        <v>1</v>
      </c>
      <c r="R20" s="16" t="n">
        <f aca="false">K20*P20/100</f>
        <v>553.846153846154</v>
      </c>
      <c r="S20" s="18" t="n">
        <f aca="false">$E20*P20/100</f>
        <v>50</v>
      </c>
      <c r="T20" s="2"/>
      <c r="U20" s="17" t="n">
        <v>0.65</v>
      </c>
      <c r="V20" s="13" t="n">
        <f aca="false">C20*U20/100</f>
        <v>0.0325</v>
      </c>
      <c r="W20" s="16" t="n">
        <f aca="false">K20*U20/100</f>
        <v>18</v>
      </c>
      <c r="X20" s="18" t="n">
        <f aca="false">$E20*U20/100</f>
        <v>1.625</v>
      </c>
      <c r="Y20" s="2"/>
      <c r="Z20" s="17" t="n">
        <v>0</v>
      </c>
      <c r="AA20" s="13" t="n">
        <f aca="false">C20*Z20/100</f>
        <v>0</v>
      </c>
      <c r="AB20" s="16" t="n">
        <f aca="false">K20*Z20/100</f>
        <v>0</v>
      </c>
      <c r="AC20" s="18" t="n">
        <f aca="false">$E20*Z20/100</f>
        <v>0</v>
      </c>
      <c r="AD20" s="2"/>
      <c r="AE20" s="19" t="n">
        <v>5</v>
      </c>
      <c r="AF20" s="13" t="n">
        <f aca="false">$C20*AE20/100</f>
        <v>0.25</v>
      </c>
      <c r="AG20" s="16" t="n">
        <f aca="false">$K20*AE20/100</f>
        <v>138.461538461539</v>
      </c>
      <c r="AH20" s="18" t="n">
        <f aca="false">$E20*AE20/100</f>
        <v>12.5</v>
      </c>
      <c r="AI20" s="2"/>
      <c r="AJ20" s="19" t="n">
        <v>24</v>
      </c>
      <c r="AK20" s="13" t="n">
        <f aca="false">$C20*AJ20/100</f>
        <v>1.2</v>
      </c>
      <c r="AL20" s="16" t="n">
        <f aca="false">$K20*AJ20/100</f>
        <v>664.615384615385</v>
      </c>
      <c r="AM20" s="18" t="n">
        <f aca="false">$E20*AJ20/100</f>
        <v>60</v>
      </c>
      <c r="AN20" s="2"/>
      <c r="AO20" s="19" t="n">
        <v>3.15</v>
      </c>
      <c r="AP20" s="13" t="n">
        <f aca="false">$C20*AO20/100</f>
        <v>0.1575</v>
      </c>
      <c r="AQ20" s="16" t="n">
        <f aca="false">$K20*AO20/100</f>
        <v>87.2307692307693</v>
      </c>
      <c r="AR20" s="18" t="n">
        <f aca="false">$E20*AO20/100</f>
        <v>7.875</v>
      </c>
      <c r="AS20" s="2"/>
      <c r="AT20" s="19" t="n">
        <v>0</v>
      </c>
      <c r="AU20" s="13" t="n">
        <f aca="false">$C20*AT20/100</f>
        <v>0</v>
      </c>
      <c r="AV20" s="16" t="n">
        <f aca="false">$K20*AT20/100</f>
        <v>0</v>
      </c>
      <c r="AW20" s="18" t="n">
        <f aca="false">$E20*AT20/100</f>
        <v>0</v>
      </c>
    </row>
    <row r="21" customFormat="false" ht="13.8" hidden="false" customHeight="false" outlineLevel="0" collapsed="false">
      <c r="A21" s="12" t="s">
        <v>51</v>
      </c>
      <c r="B21" s="13" t="n">
        <v>-15</v>
      </c>
      <c r="C21" s="13" t="n">
        <v>2</v>
      </c>
      <c r="D21" s="14" t="n">
        <f aca="false">B21*C21/100</f>
        <v>-0.3</v>
      </c>
      <c r="E21" s="15" t="n">
        <f aca="false">$B$1*C21/100</f>
        <v>100</v>
      </c>
      <c r="F21" s="15" t="n">
        <v>0</v>
      </c>
      <c r="G21" s="15" t="n">
        <f aca="false">E21-F21</f>
        <v>100</v>
      </c>
      <c r="H21" s="15" t="n">
        <f aca="false">G21/($B$4)*2</f>
        <v>46.1538461538462</v>
      </c>
      <c r="I21" s="15" t="n">
        <f aca="false">J21/2</f>
        <v>50</v>
      </c>
      <c r="J21" s="15" t="n">
        <f aca="false">G21/($B$3)</f>
        <v>100</v>
      </c>
      <c r="K21" s="15" t="n">
        <f aca="false">F21+H21/2*$B$5</f>
        <v>1107.69230769231</v>
      </c>
      <c r="L21" s="16" t="n">
        <f aca="false">(H21/2)*(1+B21/100/52)^(52-$B$4)*( ( (1+B21/100/52)^$B$4-1) / (B21/100/52) ) + F21*(1+B21/100/52)^(52)</f>
        <v>86.7181347132822</v>
      </c>
      <c r="M21" s="16" t="n">
        <f aca="false">J21*(1+B21/100/12)^(12-$B$3)*(((1+B21/100/12)^$B$3-1)/(B21/100/12)) + F21*(1+B21/100/12)^(12)</f>
        <v>87.0779401771164</v>
      </c>
      <c r="N21" s="2" t="n">
        <v>0</v>
      </c>
      <c r="O21" s="16" t="n">
        <f aca="false">N21*H21</f>
        <v>0</v>
      </c>
      <c r="P21" s="17" t="n">
        <v>7</v>
      </c>
      <c r="Q21" s="13" t="n">
        <f aca="false">C21*P21/100</f>
        <v>0.14</v>
      </c>
      <c r="R21" s="16" t="n">
        <f aca="false">K21*P21/100</f>
        <v>77.5384615384616</v>
      </c>
      <c r="S21" s="18" t="n">
        <f aca="false">$E21*P21/100</f>
        <v>7</v>
      </c>
      <c r="T21" s="2"/>
      <c r="U21" s="17" t="n">
        <v>4</v>
      </c>
      <c r="V21" s="13" t="n">
        <f aca="false">C21*U21/100</f>
        <v>0.08</v>
      </c>
      <c r="W21" s="16" t="n">
        <f aca="false">K21*U21/100</f>
        <v>44.3076923076923</v>
      </c>
      <c r="X21" s="18" t="n">
        <f aca="false">$E21*U21/100</f>
        <v>4</v>
      </c>
      <c r="Y21" s="2"/>
      <c r="Z21" s="17" t="n">
        <v>0.7</v>
      </c>
      <c r="AA21" s="13" t="n">
        <f aca="false">C21*Z21/100</f>
        <v>0.014</v>
      </c>
      <c r="AB21" s="16" t="n">
        <f aca="false">K21*Z21/100</f>
        <v>7.75384615384616</v>
      </c>
      <c r="AC21" s="18" t="n">
        <f aca="false">$E21*Z21/100</f>
        <v>0.7</v>
      </c>
      <c r="AD21" s="2"/>
      <c r="AE21" s="19" t="n">
        <v>7.6</v>
      </c>
      <c r="AF21" s="13" t="n">
        <f aca="false">$C21*AE21/100</f>
        <v>0.152</v>
      </c>
      <c r="AG21" s="16" t="n">
        <f aca="false">$K21*AE21/100</f>
        <v>84.1846153846154</v>
      </c>
      <c r="AH21" s="18" t="n">
        <f aca="false">$E21*AE21/100</f>
        <v>7.6</v>
      </c>
      <c r="AI21" s="2"/>
      <c r="AJ21" s="19" t="n">
        <v>13.5</v>
      </c>
      <c r="AK21" s="13" t="n">
        <f aca="false">$C21*AJ21/100</f>
        <v>0.27</v>
      </c>
      <c r="AL21" s="16" t="n">
        <f aca="false">$K21*AJ21/100</f>
        <v>149.538461538462</v>
      </c>
      <c r="AM21" s="18" t="n">
        <f aca="false">$E21*AJ21/100</f>
        <v>13.5</v>
      </c>
      <c r="AN21" s="2"/>
      <c r="AO21" s="19" t="n">
        <v>18</v>
      </c>
      <c r="AP21" s="13" t="n">
        <f aca="false">$C21*AO21/100</f>
        <v>0.36</v>
      </c>
      <c r="AQ21" s="16" t="n">
        <f aca="false">$K21*AO21/100</f>
        <v>199.384615384616</v>
      </c>
      <c r="AR21" s="18" t="n">
        <f aca="false">$E21*AO21/100</f>
        <v>18</v>
      </c>
      <c r="AS21" s="2"/>
      <c r="AT21" s="19" t="n">
        <v>0</v>
      </c>
      <c r="AU21" s="13" t="n">
        <f aca="false">$C21*AT21/100</f>
        <v>0</v>
      </c>
      <c r="AV21" s="16" t="n">
        <f aca="false">$K21*AT21/100</f>
        <v>0</v>
      </c>
      <c r="AW21" s="18" t="n">
        <f aca="false">$E21*AT21/100</f>
        <v>0</v>
      </c>
    </row>
    <row r="22" customFormat="false" ht="13.8" hidden="false" customHeight="false" outlineLevel="0" collapsed="false">
      <c r="A22" s="24" t="s">
        <v>52</v>
      </c>
      <c r="B22" s="13"/>
      <c r="C22" s="13"/>
      <c r="D22" s="14"/>
      <c r="E22" s="15"/>
      <c r="F22" s="15"/>
      <c r="G22" s="15"/>
      <c r="H22" s="15"/>
      <c r="I22" s="15"/>
      <c r="J22" s="15"/>
      <c r="K22" s="15"/>
      <c r="L22" s="16"/>
      <c r="M22" s="16"/>
      <c r="N22" s="2"/>
      <c r="O22" s="16"/>
      <c r="P22" s="25" t="s">
        <v>53</v>
      </c>
      <c r="Q22" s="26" t="n">
        <f aca="false">SUM(Q9:Q21)</f>
        <v>32.393</v>
      </c>
      <c r="R22" s="27" t="n">
        <f aca="false">SUM(R9:R17)</f>
        <v>17309.3538461539</v>
      </c>
      <c r="S22" s="28" t="n">
        <f aca="false">SUM(S9:S21)</f>
        <v>1619.65</v>
      </c>
      <c r="T22" s="2"/>
      <c r="U22" s="25" t="s">
        <v>53</v>
      </c>
      <c r="V22" s="26" t="n">
        <f aca="false">SUM(V9:V21)</f>
        <v>8.2798</v>
      </c>
      <c r="W22" s="27" t="n">
        <f aca="false">SUM(W9:W17)</f>
        <v>4523.4276923077</v>
      </c>
      <c r="X22" s="28" t="n">
        <f aca="false">SUM(X9:X21)</f>
        <v>413.99</v>
      </c>
      <c r="Y22" s="2"/>
      <c r="Z22" s="25" t="s">
        <v>53</v>
      </c>
      <c r="AA22" s="26" t="n">
        <f aca="false">SUM(AA9:AA21)</f>
        <v>9.1628</v>
      </c>
      <c r="AB22" s="27" t="n">
        <f aca="false">SUM(AB9:AB17)</f>
        <v>82.4123076923078</v>
      </c>
      <c r="AC22" s="28" t="n">
        <f aca="false">SUM(AC9:AC21)</f>
        <v>458.14</v>
      </c>
      <c r="AD22" s="2"/>
      <c r="AE22" s="25" t="s">
        <v>53</v>
      </c>
      <c r="AF22" s="26" t="n">
        <f aca="false">SUM(AF9:AF21)</f>
        <v>7.0682</v>
      </c>
      <c r="AG22" s="27" t="n">
        <f aca="false">SUM(AG9:AG17)</f>
        <v>3692.04923076923</v>
      </c>
      <c r="AH22" s="28" t="n">
        <f aca="false">SUM(AH9:AH21)</f>
        <v>353.41</v>
      </c>
      <c r="AI22" s="2"/>
      <c r="AJ22" s="25" t="s">
        <v>53</v>
      </c>
      <c r="AK22" s="26" t="n">
        <f aca="false">SUM(AK9:AK21)</f>
        <v>7.4496</v>
      </c>
      <c r="AL22" s="27" t="n">
        <f aca="false">SUM(AL9:AL17)</f>
        <v>3311.77846153846</v>
      </c>
      <c r="AM22" s="28" t="n">
        <f aca="false">SUM(AM9:AM21)</f>
        <v>372.48</v>
      </c>
      <c r="AN22" s="2"/>
      <c r="AO22" s="25" t="s">
        <v>53</v>
      </c>
      <c r="AP22" s="26" t="n">
        <f aca="false">SUM(AP9:AP21)</f>
        <v>5.1915</v>
      </c>
      <c r="AQ22" s="27" t="n">
        <f aca="false">SUM(AQ9:AQ17)</f>
        <v>2588.67692307692</v>
      </c>
      <c r="AR22" s="28" t="n">
        <f aca="false">SUM(AR9:AR21)</f>
        <v>259.575</v>
      </c>
      <c r="AS22" s="2"/>
      <c r="AT22" s="25" t="s">
        <v>53</v>
      </c>
      <c r="AU22" s="26" t="n">
        <f aca="false">SUM(AU9:AU21)</f>
        <v>0</v>
      </c>
      <c r="AV22" s="27" t="n">
        <f aca="false">SUM(AV9:AV17)</f>
        <v>0</v>
      </c>
      <c r="AW22" s="28" t="n">
        <f aca="false">SUM(AW9:AW21)</f>
        <v>0</v>
      </c>
    </row>
    <row r="23" customFormat="false" ht="13.8" hidden="false" customHeight="false" outlineLevel="0" collapsed="false">
      <c r="A23" s="12"/>
      <c r="B23" s="13"/>
      <c r="C23" s="13"/>
      <c r="D23" s="14"/>
      <c r="E23" s="15"/>
      <c r="F23" s="15"/>
      <c r="G23" s="15"/>
      <c r="H23" s="15"/>
      <c r="I23" s="15"/>
      <c r="J23" s="15"/>
      <c r="K23" s="15"/>
      <c r="L23" s="16"/>
      <c r="M23" s="16"/>
      <c r="N23" s="2"/>
      <c r="O23" s="1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customFormat="false" ht="13.8" hidden="false" customHeight="false" outlineLevel="0" collapsed="false">
      <c r="A24" s="12"/>
      <c r="B24" s="13"/>
      <c r="C24" s="13"/>
      <c r="D24" s="14"/>
      <c r="E24" s="15"/>
      <c r="F24" s="15"/>
      <c r="G24" s="15"/>
      <c r="H24" s="15"/>
      <c r="I24" s="15"/>
      <c r="J24" s="15"/>
      <c r="K24" s="15"/>
      <c r="L24" s="16"/>
      <c r="M24" s="16"/>
      <c r="N24" s="2"/>
      <c r="O24" s="1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54</v>
      </c>
      <c r="AU24" s="2" t="n">
        <f aca="false">AU22+AA22+V22</f>
        <v>17.4426</v>
      </c>
      <c r="AV24" s="2"/>
      <c r="AW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1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customFormat="false" ht="13.8" hidden="false" customHeight="false" outlineLevel="0" collapsed="false">
      <c r="A26" s="29" t="s">
        <v>55</v>
      </c>
      <c r="B26" s="2"/>
      <c r="C26" s="7" t="n">
        <f aca="false">SUM(C9:C24)</f>
        <v>100</v>
      </c>
      <c r="D26" s="7" t="n">
        <f aca="false">SUM(D9:D24)</f>
        <v>17.81</v>
      </c>
      <c r="E26" s="15" t="n">
        <f aca="false">SUM(E9:E24)</f>
        <v>5000</v>
      </c>
      <c r="F26" s="15" t="n">
        <f aca="false">SUM(F9:F24)</f>
        <v>0</v>
      </c>
      <c r="G26" s="15" t="n">
        <f aca="false">SUM(G9:G24)</f>
        <v>5000</v>
      </c>
      <c r="H26" s="15" t="n">
        <f aca="false">SUM(H9:H24)</f>
        <v>2307.69230769231</v>
      </c>
      <c r="I26" s="15"/>
      <c r="J26" s="15" t="n">
        <f aca="false">SUM(J9:J24)</f>
        <v>5000</v>
      </c>
      <c r="K26" s="15" t="n">
        <f aca="false">SUM(K9:K24)</f>
        <v>55384.6153846154</v>
      </c>
      <c r="L26" s="15" t="n">
        <f aca="false">SUM(L9:L24)</f>
        <v>5938.24186820901</v>
      </c>
      <c r="M26" s="15" t="n">
        <f aca="false">SUM(M9:M24)</f>
        <v>5896.06474282631</v>
      </c>
      <c r="N26" s="2"/>
      <c r="O26" s="16" t="n">
        <f aca="false">SUM(O9:O24)</f>
        <v>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18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customFormat="false" ht="13.8" hidden="false" customHeight="false" outlineLevel="0" collapsed="false">
      <c r="A27" s="30" t="s">
        <v>56</v>
      </c>
      <c r="B27" s="31"/>
      <c r="C27" s="31"/>
      <c r="D27" s="31"/>
      <c r="E27" s="32" t="n">
        <f aca="false">E26-E28</f>
        <v>4981.475</v>
      </c>
      <c r="F27" s="32" t="n">
        <f aca="false">F26-F28</f>
        <v>0</v>
      </c>
      <c r="G27" s="32" t="n">
        <f aca="false">G26-G28</f>
        <v>4981.475</v>
      </c>
      <c r="H27" s="32" t="n">
        <f aca="false">H26-H28</f>
        <v>2299.14230769231</v>
      </c>
      <c r="I27" s="32"/>
      <c r="J27" s="32" t="n">
        <f aca="false">J26-J28</f>
        <v>4981.475</v>
      </c>
      <c r="K27" s="32" t="n">
        <f aca="false">K26-K28</f>
        <v>55179.4153846154</v>
      </c>
      <c r="L27" s="33" t="n">
        <f aca="false">L26-E28</f>
        <v>5919.71686820901</v>
      </c>
      <c r="M27" s="33" t="n">
        <f aca="false">M26-E28</f>
        <v>5877.53974282631</v>
      </c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customFormat="false" ht="13.8" hidden="false" customHeight="false" outlineLevel="0" collapsed="false">
      <c r="A28" s="34" t="s">
        <v>57</v>
      </c>
      <c r="B28" s="4"/>
      <c r="C28" s="4"/>
      <c r="D28" s="4"/>
      <c r="E28" s="15" t="n">
        <f aca="false">E26*(0.25/100 + 0.075/100)*1.14</f>
        <v>18.525</v>
      </c>
      <c r="F28" s="15" t="n">
        <f aca="false">F26*(0.25/100 + 0.075/100)*1.14</f>
        <v>0</v>
      </c>
      <c r="G28" s="15" t="n">
        <f aca="false">G26*(0.25/100 + 0.075/100)*1.14</f>
        <v>18.525</v>
      </c>
      <c r="H28" s="15" t="n">
        <f aca="false">H26*(0.25/100 + 0.075/100)*1.14</f>
        <v>8.55000000000001</v>
      </c>
      <c r="I28" s="15"/>
      <c r="J28" s="15" t="n">
        <f aca="false">J26*(0.25/100 + 0.075/100)*1.14</f>
        <v>18.525</v>
      </c>
      <c r="K28" s="15" t="n">
        <f aca="false">K26*(0.25/100 + 0.075/100)*1.14</f>
        <v>205.2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customFormat="false" ht="13.8" hidden="false" customHeight="false" outlineLevel="0" collapsed="false">
      <c r="A29" s="34"/>
      <c r="B29" s="4"/>
      <c r="C29" s="4"/>
      <c r="D29" s="4"/>
      <c r="E29" s="15"/>
      <c r="F29" s="15"/>
      <c r="G29" s="15"/>
      <c r="H29" s="15"/>
      <c r="I29" s="15"/>
      <c r="J29" s="15"/>
      <c r="K29" s="15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customFormat="false" ht="13.8" hidden="false" customHeight="false" outlineLevel="0" collapsed="false">
      <c r="A30" s="4"/>
      <c r="B30" s="7" t="s">
        <v>58</v>
      </c>
      <c r="C30" s="7" t="s">
        <v>59</v>
      </c>
      <c r="D30" s="35"/>
      <c r="E30" s="2"/>
      <c r="F30" s="2"/>
      <c r="G30" s="2"/>
      <c r="H30" s="2"/>
      <c r="I30" s="2"/>
      <c r="J30" s="2" t="s">
        <v>60</v>
      </c>
      <c r="K30" s="16" t="n">
        <f aca="false">K27+O26</f>
        <v>55179.4153846154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customFormat="false" ht="13.8" hidden="false" customHeight="false" outlineLevel="0" collapsed="false">
      <c r="A31" s="36" t="s">
        <v>61</v>
      </c>
      <c r="B31" s="37" t="n">
        <f aca="false">L27-$E$27</f>
        <v>938.241868209009</v>
      </c>
      <c r="C31" s="37" t="n">
        <f aca="false">M27-$E$27</f>
        <v>896.064742826306</v>
      </c>
      <c r="D31" s="3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customFormat="false" ht="13.8" hidden="false" customHeight="false" outlineLevel="0" collapsed="false">
      <c r="A32" s="39" t="s">
        <v>62</v>
      </c>
      <c r="B32" s="40" t="n">
        <f aca="false">B31/$B$1</f>
        <v>0.187648373641802</v>
      </c>
      <c r="C32" s="40" t="n">
        <f aca="false">C31/B1</f>
        <v>0.179212948565261</v>
      </c>
      <c r="D32" s="4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customFormat="false" ht="13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customFormat="false" ht="13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customFormat="false" ht="13.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customFormat="false" ht="13.8" hidden="false" customHeight="false" outlineLevel="0" collapsed="false">
      <c r="A40" s="12" t="s">
        <v>39</v>
      </c>
      <c r="B40" s="2" t="n">
        <v>375</v>
      </c>
      <c r="C40" s="2" t="n">
        <v>900</v>
      </c>
      <c r="D40" s="2" t="n">
        <v>1200</v>
      </c>
      <c r="E40" s="2" t="n">
        <f aca="false">SUM(B40:D40)</f>
        <v>2475</v>
      </c>
      <c r="F40" s="2" t="n">
        <f aca="false">E40/(150*2)</f>
        <v>8.25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customFormat="false" ht="13.8" hidden="false" customHeight="false" outlineLevel="0" collapsed="false">
      <c r="A41" s="12" t="s">
        <v>40</v>
      </c>
      <c r="B41" s="2" t="n">
        <v>375</v>
      </c>
      <c r="C41" s="2" t="n">
        <v>675</v>
      </c>
      <c r="D41" s="2" t="n">
        <v>800</v>
      </c>
      <c r="E41" s="2" t="n">
        <f aca="false">SUM(B41:D41)</f>
        <v>1850</v>
      </c>
      <c r="F41" s="2" t="n">
        <f aca="false">E41/(150*2)</f>
        <v>6.16666666666667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customFormat="false" ht="13.8" hidden="false" customHeight="false" outlineLevel="0" collapsed="false">
      <c r="A42" s="12" t="s">
        <v>41</v>
      </c>
      <c r="B42" s="2" t="n">
        <v>184</v>
      </c>
      <c r="C42" s="2" t="n">
        <v>750</v>
      </c>
      <c r="D42" s="2" t="n">
        <f aca="false">1125+1400</f>
        <v>2525</v>
      </c>
      <c r="E42" s="2" t="n">
        <f aca="false">SUM(B42:D42)</f>
        <v>3459</v>
      </c>
      <c r="F42" s="2" t="n">
        <f aca="false">E42/(225*2)</f>
        <v>7.68666666666667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customFormat="false" ht="13.8" hidden="false" customHeight="false" outlineLevel="0" collapsed="false">
      <c r="A43" s="29" t="s">
        <v>42</v>
      </c>
      <c r="B43" s="2"/>
      <c r="C43" s="2"/>
      <c r="D43" s="2"/>
      <c r="E43" s="2" t="n">
        <f aca="false">SUM(B43:D43)</f>
        <v>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customFormat="false" ht="13.8" hidden="false" customHeight="false" outlineLevel="0" collapsed="false">
      <c r="A44" s="12" t="s">
        <v>43</v>
      </c>
      <c r="B44" s="2" t="n">
        <v>550</v>
      </c>
      <c r="C44" s="2" t="n">
        <v>400</v>
      </c>
      <c r="D44" s="2"/>
      <c r="E44" s="2" t="n">
        <f aca="false">SUM(B44:D44)</f>
        <v>950</v>
      </c>
      <c r="F44" s="2" t="n">
        <f aca="false">E44/(150*2)</f>
        <v>3.16666666666667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customFormat="false" ht="13.8" hidden="false" customHeight="false" outlineLevel="0" collapsed="false">
      <c r="A45" s="12" t="s">
        <v>44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customFormat="false" ht="13.8" hidden="false" customHeight="false" outlineLevel="0" collapsed="false">
      <c r="A46" s="12" t="s">
        <v>45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customFormat="false" ht="13.8" hidden="false" customHeight="false" outlineLevel="0" collapsed="false">
      <c r="A47" s="12" t="s">
        <v>46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customFormat="false" ht="13.8" hidden="false" customHeight="false" outlineLevel="0" collapsed="false">
      <c r="A48" s="12" t="s">
        <v>47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</row>
    <row r="1033" customFormat="false" ht="1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 customFormat="false" ht="1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 customFormat="false" ht="1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 customFormat="false" ht="1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 customFormat="false" ht="1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 customFormat="false" ht="1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 customFormat="false" ht="1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</row>
    <row r="1040" customFormat="false" ht="1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</row>
    <row r="1041" customFormat="false" ht="1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</row>
    <row r="1042" customFormat="false" ht="15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</row>
    <row r="1043" customFormat="false" ht="15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</row>
    <row r="1044" customFormat="false" ht="15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</row>
    <row r="1045" customFormat="false" ht="15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</row>
    <row r="1046" customFormat="false" ht="15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</row>
    <row r="1047" customFormat="false" ht="15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</row>
    <row r="1048" customFormat="false" ht="15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</row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  <row r="1556" customFormat="false" ht="15" hidden="false" customHeight="false" outlineLevel="0" collapsed="false"/>
    <row r="1557" customFormat="false" ht="15" hidden="false" customHeight="false" outlineLevel="0" collapsed="false"/>
    <row r="1558" customFormat="false" ht="15" hidden="false" customHeight="false" outlineLevel="0" collapsed="false"/>
    <row r="1559" customFormat="false" ht="15" hidden="false" customHeight="false" outlineLevel="0" collapsed="false"/>
    <row r="1560" customFormat="false" ht="15" hidden="false" customHeight="false" outlineLevel="0" collapsed="false"/>
    <row r="1561" customFormat="false" ht="15" hidden="false" customHeight="false" outlineLevel="0" collapsed="false"/>
    <row r="1562" customFormat="false" ht="15" hidden="false" customHeight="false" outlineLevel="0" collapsed="false"/>
    <row r="1563" customFormat="false" ht="15" hidden="false" customHeight="false" outlineLevel="0" collapsed="false"/>
    <row r="1564" customFormat="false" ht="15" hidden="false" customHeight="false" outlineLevel="0" collapsed="false"/>
    <row r="1565" customFormat="false" ht="15" hidden="false" customHeight="false" outlineLevel="0" collapsed="false"/>
    <row r="1566" customFormat="false" ht="15" hidden="false" customHeight="false" outlineLevel="0" collapsed="false"/>
    <row r="1567" customFormat="false" ht="15" hidden="false" customHeight="false" outlineLevel="0" collapsed="false"/>
    <row r="1568" customFormat="false" ht="15" hidden="false" customHeight="false" outlineLevel="0" collapsed="false"/>
    <row r="1569" customFormat="false" ht="15" hidden="false" customHeight="false" outlineLevel="0" collapsed="false"/>
    <row r="1570" customFormat="false" ht="15" hidden="false" customHeight="false" outlineLevel="0" collapsed="false"/>
    <row r="1571" customFormat="false" ht="15" hidden="false" customHeight="false" outlineLevel="0" collapsed="false"/>
    <row r="1572" customFormat="false" ht="15" hidden="false" customHeight="false" outlineLevel="0" collapsed="false"/>
    <row r="1573" customFormat="false" ht="15" hidden="false" customHeight="false" outlineLevel="0" collapsed="false"/>
    <row r="1574" customFormat="false" ht="15" hidden="false" customHeight="false" outlineLevel="0" collapsed="false"/>
    <row r="1575" customFormat="false" ht="15" hidden="false" customHeight="false" outlineLevel="0" collapsed="false"/>
    <row r="1576" customFormat="false" ht="15" hidden="false" customHeight="false" outlineLevel="0" collapsed="false"/>
    <row r="1577" customFormat="false" ht="15" hidden="false" customHeight="false" outlineLevel="0" collapsed="false"/>
    <row r="1578" customFormat="false" ht="15" hidden="false" customHeight="false" outlineLevel="0" collapsed="false"/>
    <row r="1579" customFormat="false" ht="15" hidden="false" customHeight="false" outlineLevel="0" collapsed="false"/>
    <row r="1580" customFormat="false" ht="15" hidden="false" customHeight="false" outlineLevel="0" collapsed="false"/>
    <row r="1581" customFormat="false" ht="15" hidden="false" customHeight="false" outlineLevel="0" collapsed="false"/>
    <row r="1582" customFormat="false" ht="15" hidden="false" customHeight="false" outlineLevel="0" collapsed="false"/>
    <row r="1583" customFormat="false" ht="15" hidden="false" customHeight="false" outlineLevel="0" collapsed="false"/>
    <row r="1584" customFormat="false" ht="15" hidden="false" customHeight="false" outlineLevel="0" collapsed="false"/>
    <row r="1585" customFormat="false" ht="15" hidden="false" customHeight="false" outlineLevel="0" collapsed="false"/>
    <row r="1586" customFormat="false" ht="15" hidden="false" customHeight="false" outlineLevel="0" collapsed="false"/>
    <row r="1587" customFormat="false" ht="15" hidden="false" customHeight="false" outlineLevel="0" collapsed="false"/>
    <row r="1588" customFormat="false" ht="15" hidden="false" customHeight="false" outlineLevel="0" collapsed="false"/>
    <row r="1589" customFormat="false" ht="15" hidden="false" customHeight="false" outlineLevel="0" collapsed="false"/>
    <row r="1590" customFormat="false" ht="15" hidden="false" customHeight="false" outlineLevel="0" collapsed="false"/>
    <row r="1591" customFormat="false" ht="15" hidden="false" customHeight="false" outlineLevel="0" collapsed="false"/>
    <row r="1592" customFormat="false" ht="15" hidden="false" customHeight="false" outlineLevel="0" collapsed="false"/>
    <row r="1593" customFormat="false" ht="15" hidden="false" customHeight="false" outlineLevel="0" collapsed="false"/>
    <row r="1594" customFormat="false" ht="15" hidden="false" customHeight="false" outlineLevel="0" collapsed="false"/>
    <row r="1595" customFormat="false" ht="15" hidden="false" customHeight="false" outlineLevel="0" collapsed="false"/>
    <row r="1596" customFormat="false" ht="15" hidden="false" customHeight="false" outlineLevel="0" collapsed="false"/>
    <row r="1597" customFormat="false" ht="15" hidden="false" customHeight="false" outlineLevel="0" collapsed="false"/>
    <row r="1598" customFormat="false" ht="15" hidden="false" customHeight="false" outlineLevel="0" collapsed="false"/>
    <row r="1599" customFormat="false" ht="15" hidden="false" customHeight="false" outlineLevel="0" collapsed="false"/>
    <row r="1600" customFormat="false" ht="15" hidden="false" customHeight="false" outlineLevel="0" collapsed="false"/>
    <row r="1601" customFormat="false" ht="15" hidden="false" customHeight="false" outlineLevel="0" collapsed="false"/>
    <row r="1602" customFormat="false" ht="15" hidden="false" customHeight="false" outlineLevel="0" collapsed="false"/>
    <row r="1603" customFormat="false" ht="15" hidden="false" customHeight="false" outlineLevel="0" collapsed="false"/>
    <row r="1604" customFormat="false" ht="15" hidden="false" customHeight="false" outlineLevel="0" collapsed="false"/>
    <row r="1605" customFormat="false" ht="15" hidden="false" customHeight="false" outlineLevel="0" collapsed="false"/>
    <row r="1606" customFormat="false" ht="15" hidden="false" customHeight="false" outlineLevel="0" collapsed="false"/>
    <row r="1607" customFormat="false" ht="15" hidden="false" customHeight="false" outlineLevel="0" collapsed="false"/>
    <row r="1608" customFormat="false" ht="15" hidden="false" customHeight="false" outlineLevel="0" collapsed="false"/>
    <row r="1609" customFormat="false" ht="15" hidden="false" customHeight="false" outlineLevel="0" collapsed="false"/>
    <row r="1610" customFormat="false" ht="15" hidden="false" customHeight="false" outlineLevel="0" collapsed="false"/>
    <row r="1611" customFormat="false" ht="15" hidden="false" customHeight="false" outlineLevel="0" collapsed="false"/>
    <row r="1612" customFormat="false" ht="15" hidden="false" customHeight="false" outlineLevel="0" collapsed="false"/>
    <row r="1613" customFormat="false" ht="15" hidden="false" customHeight="false" outlineLevel="0" collapsed="false"/>
    <row r="1614" customFormat="false" ht="15" hidden="false" customHeight="false" outlineLevel="0" collapsed="false"/>
    <row r="1615" customFormat="false" ht="15" hidden="false" customHeight="false" outlineLevel="0" collapsed="false"/>
    <row r="1616" customFormat="false" ht="15" hidden="false" customHeight="false" outlineLevel="0" collapsed="false"/>
    <row r="1617" customFormat="false" ht="15" hidden="false" customHeight="false" outlineLevel="0" collapsed="false"/>
    <row r="1618" customFormat="false" ht="15" hidden="false" customHeight="false" outlineLevel="0" collapsed="false"/>
    <row r="1619" customFormat="false" ht="15" hidden="false" customHeight="false" outlineLevel="0" collapsed="false"/>
    <row r="1620" customFormat="false" ht="15" hidden="false" customHeight="false" outlineLevel="0" collapsed="false"/>
    <row r="1621" customFormat="false" ht="15" hidden="false" customHeight="false" outlineLevel="0" collapsed="false"/>
    <row r="1622" customFormat="false" ht="15" hidden="false" customHeight="false" outlineLevel="0" collapsed="false"/>
    <row r="1623" customFormat="false" ht="15" hidden="false" customHeight="false" outlineLevel="0" collapsed="false"/>
    <row r="1624" customFormat="false" ht="15" hidden="false" customHeight="false" outlineLevel="0" collapsed="false"/>
    <row r="1625" customFormat="false" ht="15" hidden="false" customHeight="false" outlineLevel="0" collapsed="false"/>
    <row r="1626" customFormat="false" ht="15" hidden="false" customHeight="false" outlineLevel="0" collapsed="false"/>
    <row r="1627" customFormat="false" ht="15" hidden="false" customHeight="false" outlineLevel="0" collapsed="false"/>
    <row r="1628" customFormat="false" ht="15" hidden="false" customHeight="false" outlineLevel="0" collapsed="false"/>
    <row r="1629" customFormat="false" ht="15" hidden="false" customHeight="false" outlineLevel="0" collapsed="false"/>
    <row r="1630" customFormat="false" ht="15" hidden="false" customHeight="false" outlineLevel="0" collapsed="false"/>
    <row r="1631" customFormat="false" ht="15" hidden="false" customHeight="false" outlineLevel="0" collapsed="false"/>
    <row r="1632" customFormat="false" ht="15" hidden="false" customHeight="false" outlineLevel="0" collapsed="false"/>
    <row r="1633" customFormat="false" ht="15" hidden="false" customHeight="false" outlineLevel="0" collapsed="false"/>
    <row r="1634" customFormat="false" ht="15" hidden="false" customHeight="false" outlineLevel="0" collapsed="false"/>
    <row r="1635" customFormat="false" ht="15" hidden="false" customHeight="false" outlineLevel="0" collapsed="false"/>
    <row r="1636" customFormat="false" ht="15" hidden="false" customHeight="false" outlineLevel="0" collapsed="false"/>
    <row r="1637" customFormat="false" ht="15" hidden="false" customHeight="false" outlineLevel="0" collapsed="false"/>
    <row r="1638" customFormat="false" ht="15" hidden="false" customHeight="false" outlineLevel="0" collapsed="false"/>
    <row r="1639" customFormat="false" ht="15" hidden="false" customHeight="false" outlineLevel="0" collapsed="false"/>
    <row r="1640" customFormat="false" ht="15" hidden="false" customHeight="false" outlineLevel="0" collapsed="false"/>
    <row r="1641" customFormat="false" ht="15" hidden="false" customHeight="false" outlineLevel="0" collapsed="false"/>
    <row r="1642" customFormat="false" ht="15" hidden="false" customHeight="false" outlineLevel="0" collapsed="false"/>
    <row r="1643" customFormat="false" ht="15" hidden="false" customHeight="false" outlineLevel="0" collapsed="false"/>
    <row r="1644" customFormat="false" ht="15" hidden="false" customHeight="false" outlineLevel="0" collapsed="false"/>
    <row r="1645" customFormat="false" ht="15" hidden="false" customHeight="false" outlineLevel="0" collapsed="false"/>
    <row r="1646" customFormat="false" ht="15" hidden="false" customHeight="false" outlineLevel="0" collapsed="false"/>
    <row r="1647" customFormat="false" ht="15" hidden="false" customHeight="false" outlineLevel="0" collapsed="false"/>
    <row r="1648" customFormat="false" ht="15" hidden="false" customHeight="false" outlineLevel="0" collapsed="false"/>
    <row r="1649" customFormat="false" ht="15" hidden="false" customHeight="false" outlineLevel="0" collapsed="false"/>
    <row r="1650" customFormat="false" ht="15" hidden="false" customHeight="false" outlineLevel="0" collapsed="false"/>
    <row r="1651" customFormat="false" ht="15" hidden="false" customHeight="false" outlineLevel="0" collapsed="false"/>
    <row r="1652" customFormat="false" ht="15" hidden="false" customHeight="false" outlineLevel="0" collapsed="false"/>
    <row r="1653" customFormat="false" ht="15" hidden="false" customHeight="false" outlineLevel="0" collapsed="false"/>
    <row r="1654" customFormat="false" ht="15" hidden="false" customHeight="false" outlineLevel="0" collapsed="false"/>
    <row r="1655" customFormat="false" ht="15" hidden="false" customHeight="false" outlineLevel="0" collapsed="false"/>
    <row r="1656" customFormat="false" ht="15" hidden="false" customHeight="false" outlineLevel="0" collapsed="false"/>
    <row r="1657" customFormat="false" ht="15" hidden="false" customHeight="false" outlineLevel="0" collapsed="false"/>
    <row r="1658" customFormat="false" ht="15" hidden="false" customHeight="false" outlineLevel="0" collapsed="false"/>
    <row r="1659" customFormat="false" ht="15" hidden="false" customHeight="false" outlineLevel="0" collapsed="false"/>
    <row r="1660" customFormat="false" ht="15" hidden="false" customHeight="false" outlineLevel="0" collapsed="false"/>
    <row r="1661" customFormat="false" ht="15" hidden="false" customHeight="false" outlineLevel="0" collapsed="false"/>
    <row r="1662" customFormat="false" ht="15" hidden="false" customHeight="false" outlineLevel="0" collapsed="false"/>
    <row r="1663" customFormat="false" ht="15" hidden="false" customHeight="false" outlineLevel="0" collapsed="false"/>
    <row r="1664" customFormat="false" ht="15" hidden="false" customHeight="false" outlineLevel="0" collapsed="false"/>
    <row r="1665" customFormat="false" ht="15" hidden="false" customHeight="false" outlineLevel="0" collapsed="false"/>
    <row r="1666" customFormat="false" ht="15" hidden="false" customHeight="false" outlineLevel="0" collapsed="false"/>
    <row r="1667" customFormat="false" ht="15" hidden="false" customHeight="false" outlineLevel="0" collapsed="false"/>
    <row r="1668" customFormat="false" ht="15" hidden="false" customHeight="false" outlineLevel="0" collapsed="false"/>
    <row r="1669" customFormat="false" ht="15" hidden="false" customHeight="false" outlineLevel="0" collapsed="false"/>
    <row r="1670" customFormat="false" ht="15" hidden="false" customHeight="false" outlineLevel="0" collapsed="false"/>
    <row r="1671" customFormat="false" ht="15" hidden="false" customHeight="false" outlineLevel="0" collapsed="false"/>
    <row r="1672" customFormat="false" ht="15" hidden="false" customHeight="false" outlineLevel="0" collapsed="false"/>
    <row r="1673" customFormat="false" ht="15" hidden="false" customHeight="false" outlineLevel="0" collapsed="false"/>
    <row r="1674" customFormat="false" ht="15" hidden="false" customHeight="false" outlineLevel="0" collapsed="false"/>
    <row r="1675" customFormat="false" ht="15" hidden="false" customHeight="false" outlineLevel="0" collapsed="false"/>
    <row r="1676" customFormat="false" ht="15" hidden="false" customHeight="false" outlineLevel="0" collapsed="false"/>
    <row r="1677" customFormat="false" ht="15" hidden="false" customHeight="false" outlineLevel="0" collapsed="false"/>
    <row r="1678" customFormat="false" ht="15" hidden="false" customHeight="false" outlineLevel="0" collapsed="false"/>
    <row r="1679" customFormat="false" ht="15" hidden="false" customHeight="false" outlineLevel="0" collapsed="false"/>
    <row r="1680" customFormat="false" ht="15" hidden="false" customHeight="false" outlineLevel="0" collapsed="false"/>
    <row r="1681" customFormat="false" ht="15" hidden="false" customHeight="false" outlineLevel="0" collapsed="false"/>
    <row r="1682" customFormat="false" ht="15" hidden="false" customHeight="false" outlineLevel="0" collapsed="false"/>
    <row r="1683" customFormat="false" ht="15" hidden="false" customHeight="false" outlineLevel="0" collapsed="false"/>
    <row r="1684" customFormat="false" ht="15" hidden="false" customHeight="false" outlineLevel="0" collapsed="false"/>
    <row r="1685" customFormat="false" ht="15" hidden="false" customHeight="false" outlineLevel="0" collapsed="false"/>
    <row r="1686" customFormat="false" ht="15" hidden="false" customHeight="false" outlineLevel="0" collapsed="false"/>
    <row r="1687" customFormat="false" ht="15" hidden="false" customHeight="false" outlineLevel="0" collapsed="false"/>
    <row r="1688" customFormat="false" ht="15" hidden="false" customHeight="false" outlineLevel="0" collapsed="false"/>
    <row r="1689" customFormat="false" ht="15" hidden="false" customHeight="false" outlineLevel="0" collapsed="false"/>
    <row r="1690" customFormat="false" ht="15" hidden="false" customHeight="false" outlineLevel="0" collapsed="false"/>
    <row r="1691" customFormat="false" ht="15" hidden="false" customHeight="false" outlineLevel="0" collapsed="false"/>
    <row r="1692" customFormat="false" ht="15" hidden="false" customHeight="false" outlineLevel="0" collapsed="false"/>
    <row r="1693" customFormat="false" ht="15" hidden="false" customHeight="false" outlineLevel="0" collapsed="false"/>
    <row r="1694" customFormat="false" ht="15" hidden="false" customHeight="false" outlineLevel="0" collapsed="false"/>
    <row r="1695" customFormat="false" ht="15" hidden="false" customHeight="false" outlineLevel="0" collapsed="false"/>
    <row r="1696" customFormat="false" ht="15" hidden="false" customHeight="false" outlineLevel="0" collapsed="false"/>
    <row r="1697" customFormat="false" ht="15" hidden="false" customHeight="false" outlineLevel="0" collapsed="false"/>
    <row r="1698" customFormat="false" ht="15" hidden="false" customHeight="false" outlineLevel="0" collapsed="false"/>
    <row r="1699" customFormat="false" ht="15" hidden="false" customHeight="false" outlineLevel="0" collapsed="false"/>
    <row r="1700" customFormat="false" ht="15" hidden="false" customHeight="false" outlineLevel="0" collapsed="false"/>
    <row r="1701" customFormat="false" ht="15" hidden="false" customHeight="false" outlineLevel="0" collapsed="false"/>
    <row r="1702" customFormat="false" ht="15" hidden="false" customHeight="false" outlineLevel="0" collapsed="false"/>
    <row r="1703" customFormat="false" ht="15" hidden="false" customHeight="false" outlineLevel="0" collapsed="false"/>
    <row r="1704" customFormat="false" ht="15" hidden="false" customHeight="false" outlineLevel="0" collapsed="false"/>
    <row r="1705" customFormat="false" ht="15" hidden="false" customHeight="false" outlineLevel="0" collapsed="false"/>
    <row r="1706" customFormat="false" ht="15" hidden="false" customHeight="false" outlineLevel="0" collapsed="false"/>
    <row r="1707" customFormat="false" ht="15" hidden="false" customHeight="false" outlineLevel="0" collapsed="false"/>
    <row r="1708" customFormat="false" ht="15" hidden="false" customHeight="false" outlineLevel="0" collapsed="false"/>
    <row r="1709" customFormat="false" ht="15" hidden="false" customHeight="false" outlineLevel="0" collapsed="false"/>
    <row r="1710" customFormat="false" ht="15" hidden="false" customHeight="false" outlineLevel="0" collapsed="false"/>
    <row r="1711" customFormat="false" ht="15" hidden="false" customHeight="false" outlineLevel="0" collapsed="false"/>
    <row r="1712" customFormat="false" ht="15" hidden="false" customHeight="false" outlineLevel="0" collapsed="false"/>
    <row r="1713" customFormat="false" ht="15" hidden="false" customHeight="false" outlineLevel="0" collapsed="false"/>
    <row r="1714" customFormat="false" ht="15" hidden="false" customHeight="false" outlineLevel="0" collapsed="false"/>
    <row r="1715" customFormat="false" ht="15" hidden="false" customHeight="false" outlineLevel="0" collapsed="false"/>
    <row r="1716" customFormat="false" ht="15" hidden="false" customHeight="false" outlineLevel="0" collapsed="false"/>
    <row r="1717" customFormat="false" ht="15" hidden="false" customHeight="false" outlineLevel="0" collapsed="false"/>
    <row r="1718" customFormat="false" ht="15" hidden="false" customHeight="false" outlineLevel="0" collapsed="false"/>
    <row r="1719" customFormat="false" ht="15" hidden="false" customHeight="false" outlineLevel="0" collapsed="false"/>
    <row r="1720" customFormat="false" ht="15" hidden="false" customHeight="false" outlineLevel="0" collapsed="false"/>
    <row r="1721" customFormat="false" ht="15" hidden="false" customHeight="false" outlineLevel="0" collapsed="false"/>
    <row r="1722" customFormat="false" ht="15" hidden="false" customHeight="false" outlineLevel="0" collapsed="false"/>
    <row r="1723" customFormat="false" ht="15" hidden="false" customHeight="false" outlineLevel="0" collapsed="false"/>
    <row r="1724" customFormat="false" ht="15" hidden="false" customHeight="false" outlineLevel="0" collapsed="false"/>
    <row r="1725" customFormat="false" ht="15" hidden="false" customHeight="false" outlineLevel="0" collapsed="false"/>
    <row r="1726" customFormat="false" ht="15" hidden="false" customHeight="false" outlineLevel="0" collapsed="false"/>
    <row r="1727" customFormat="false" ht="15" hidden="false" customHeight="false" outlineLevel="0" collapsed="false"/>
    <row r="1728" customFormat="false" ht="15" hidden="false" customHeight="false" outlineLevel="0" collapsed="false"/>
    <row r="1729" customFormat="false" ht="15" hidden="false" customHeight="false" outlineLevel="0" collapsed="false"/>
    <row r="1730" customFormat="false" ht="15" hidden="false" customHeight="false" outlineLevel="0" collapsed="false"/>
    <row r="1731" customFormat="false" ht="15" hidden="false" customHeight="false" outlineLevel="0" collapsed="false"/>
    <row r="1732" customFormat="false" ht="15" hidden="false" customHeight="false" outlineLevel="0" collapsed="false"/>
    <row r="1733" customFormat="false" ht="15" hidden="false" customHeight="false" outlineLevel="0" collapsed="false"/>
    <row r="1734" customFormat="false" ht="15" hidden="false" customHeight="false" outlineLevel="0" collapsed="false"/>
    <row r="1735" customFormat="false" ht="15" hidden="false" customHeight="false" outlineLevel="0" collapsed="false"/>
    <row r="1736" customFormat="false" ht="15" hidden="false" customHeight="false" outlineLevel="0" collapsed="false"/>
    <row r="1737" customFormat="false" ht="15" hidden="false" customHeight="false" outlineLevel="0" collapsed="false"/>
    <row r="1738" customFormat="false" ht="15" hidden="false" customHeight="false" outlineLevel="0" collapsed="false"/>
    <row r="1739" customFormat="false" ht="15" hidden="false" customHeight="false" outlineLevel="0" collapsed="false"/>
    <row r="1740" customFormat="false" ht="15" hidden="false" customHeight="false" outlineLevel="0" collapsed="false"/>
    <row r="1741" customFormat="false" ht="15" hidden="false" customHeight="false" outlineLevel="0" collapsed="false"/>
    <row r="1742" customFormat="false" ht="15" hidden="false" customHeight="false" outlineLevel="0" collapsed="false"/>
    <row r="1743" customFormat="false" ht="15" hidden="false" customHeight="false" outlineLevel="0" collapsed="false"/>
    <row r="1744" customFormat="false" ht="15" hidden="false" customHeight="false" outlineLevel="0" collapsed="false"/>
    <row r="1745" customFormat="false" ht="15" hidden="false" customHeight="false" outlineLevel="0" collapsed="false"/>
    <row r="1746" customFormat="false" ht="15" hidden="false" customHeight="false" outlineLevel="0" collapsed="false"/>
    <row r="1747" customFormat="false" ht="15" hidden="false" customHeight="false" outlineLevel="0" collapsed="false"/>
    <row r="1748" customFormat="false" ht="15" hidden="false" customHeight="false" outlineLevel="0" collapsed="false"/>
    <row r="1749" customFormat="false" ht="15" hidden="false" customHeight="false" outlineLevel="0" collapsed="false"/>
    <row r="1750" customFormat="false" ht="15" hidden="false" customHeight="false" outlineLevel="0" collapsed="false"/>
    <row r="1751" customFormat="false" ht="15" hidden="false" customHeight="false" outlineLevel="0" collapsed="false"/>
    <row r="1752" customFormat="false" ht="15" hidden="false" customHeight="false" outlineLevel="0" collapsed="false"/>
    <row r="1753" customFormat="false" ht="15" hidden="false" customHeight="false" outlineLevel="0" collapsed="false"/>
    <row r="1754" customFormat="false" ht="15" hidden="false" customHeight="false" outlineLevel="0" collapsed="false"/>
    <row r="1755" customFormat="false" ht="15" hidden="false" customHeight="false" outlineLevel="0" collapsed="false"/>
    <row r="1756" customFormat="false" ht="15" hidden="false" customHeight="false" outlineLevel="0" collapsed="false"/>
    <row r="1757" customFormat="false" ht="15" hidden="false" customHeight="false" outlineLevel="0" collapsed="false"/>
    <row r="1758" customFormat="false" ht="15" hidden="false" customHeight="false" outlineLevel="0" collapsed="false"/>
    <row r="1759" customFormat="false" ht="15" hidden="false" customHeight="false" outlineLevel="0" collapsed="false"/>
    <row r="1760" customFormat="false" ht="15" hidden="false" customHeight="false" outlineLevel="0" collapsed="false"/>
    <row r="1761" customFormat="false" ht="15" hidden="false" customHeight="false" outlineLevel="0" collapsed="false"/>
    <row r="1762" customFormat="false" ht="15" hidden="false" customHeight="false" outlineLevel="0" collapsed="false"/>
    <row r="1763" customFormat="false" ht="15" hidden="false" customHeight="false" outlineLevel="0" collapsed="false"/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5" hidden="false" customHeight="false" outlineLevel="0" collapsed="false"/>
    <row r="1768" customFormat="false" ht="15" hidden="false" customHeight="false" outlineLevel="0" collapsed="false"/>
    <row r="1769" customFormat="false" ht="15" hidden="false" customHeight="false" outlineLevel="0" collapsed="false"/>
    <row r="1770" customFormat="false" ht="15" hidden="false" customHeight="false" outlineLevel="0" collapsed="false"/>
    <row r="1771" customFormat="false" ht="15" hidden="false" customHeight="false" outlineLevel="0" collapsed="false"/>
    <row r="1772" customFormat="false" ht="15" hidden="false" customHeight="false" outlineLevel="0" collapsed="false"/>
    <row r="1773" customFormat="false" ht="15" hidden="false" customHeight="false" outlineLevel="0" collapsed="false"/>
    <row r="1774" customFormat="false" ht="15" hidden="false" customHeight="false" outlineLevel="0" collapsed="false"/>
    <row r="1775" customFormat="false" ht="15" hidden="false" customHeight="false" outlineLevel="0" collapsed="false"/>
    <row r="1776" customFormat="false" ht="15" hidden="false" customHeight="false" outlineLevel="0" collapsed="false"/>
    <row r="1777" customFormat="false" ht="15" hidden="false" customHeight="false" outlineLevel="0" collapsed="false"/>
    <row r="1778" customFormat="false" ht="15" hidden="false" customHeight="false" outlineLevel="0" collapsed="false"/>
    <row r="1779" customFormat="false" ht="15" hidden="false" customHeight="false" outlineLevel="0" collapsed="false"/>
    <row r="1780" customFormat="false" ht="15" hidden="false" customHeight="false" outlineLevel="0" collapsed="false"/>
    <row r="1781" customFormat="false" ht="15" hidden="false" customHeight="false" outlineLevel="0" collapsed="false"/>
    <row r="1782" customFormat="false" ht="15" hidden="false" customHeight="false" outlineLevel="0" collapsed="false"/>
    <row r="1783" customFormat="false" ht="15" hidden="false" customHeight="false" outlineLevel="0" collapsed="false"/>
    <row r="1784" customFormat="false" ht="15" hidden="false" customHeight="false" outlineLevel="0" collapsed="false"/>
    <row r="1785" customFormat="false" ht="15" hidden="false" customHeight="false" outlineLevel="0" collapsed="false"/>
    <row r="1786" customFormat="false" ht="15" hidden="false" customHeight="false" outlineLevel="0" collapsed="false"/>
    <row r="1787" customFormat="false" ht="15" hidden="false" customHeight="false" outlineLevel="0" collapsed="false"/>
    <row r="1788" customFormat="false" ht="15" hidden="false" customHeight="false" outlineLevel="0" collapsed="false"/>
    <row r="1789" customFormat="false" ht="15" hidden="false" customHeight="false" outlineLevel="0" collapsed="false"/>
    <row r="1790" customFormat="false" ht="15" hidden="false" customHeight="false" outlineLevel="0" collapsed="false"/>
    <row r="1791" customFormat="false" ht="15" hidden="false" customHeight="false" outlineLevel="0" collapsed="false"/>
    <row r="1792" customFormat="false" ht="15" hidden="false" customHeight="false" outlineLevel="0" collapsed="false"/>
    <row r="1793" customFormat="false" ht="15" hidden="false" customHeight="false" outlineLevel="0" collapsed="false"/>
    <row r="1794" customFormat="false" ht="15" hidden="false" customHeight="false" outlineLevel="0" collapsed="false"/>
    <row r="1795" customFormat="false" ht="15" hidden="false" customHeight="false" outlineLevel="0" collapsed="false"/>
    <row r="1796" customFormat="false" ht="15" hidden="false" customHeight="false" outlineLevel="0" collapsed="false"/>
    <row r="1797" customFormat="false" ht="15" hidden="false" customHeight="false" outlineLevel="0" collapsed="false"/>
    <row r="1798" customFormat="false" ht="15" hidden="false" customHeight="false" outlineLevel="0" collapsed="false"/>
    <row r="1799" customFormat="false" ht="15" hidden="false" customHeight="false" outlineLevel="0" collapsed="false"/>
    <row r="1800" customFormat="false" ht="15" hidden="false" customHeight="false" outlineLevel="0" collapsed="false"/>
    <row r="1801" customFormat="false" ht="15" hidden="false" customHeight="false" outlineLevel="0" collapsed="false"/>
    <row r="1802" customFormat="false" ht="15" hidden="false" customHeight="false" outlineLevel="0" collapsed="false"/>
    <row r="1803" customFormat="false" ht="15" hidden="false" customHeight="false" outlineLevel="0" collapsed="false"/>
    <row r="1804" customFormat="false" ht="15" hidden="false" customHeight="false" outlineLevel="0" collapsed="false"/>
    <row r="1805" customFormat="false" ht="15" hidden="false" customHeight="false" outlineLevel="0" collapsed="false"/>
    <row r="1806" customFormat="false" ht="15" hidden="false" customHeight="false" outlineLevel="0" collapsed="false"/>
    <row r="1807" customFormat="false" ht="15" hidden="false" customHeight="false" outlineLevel="0" collapsed="false"/>
    <row r="1808" customFormat="false" ht="15" hidden="false" customHeight="false" outlineLevel="0" collapsed="false"/>
    <row r="1809" customFormat="false" ht="15" hidden="false" customHeight="false" outlineLevel="0" collapsed="false"/>
    <row r="1810" customFormat="false" ht="15" hidden="false" customHeight="false" outlineLevel="0" collapsed="false"/>
    <row r="1811" customFormat="false" ht="15" hidden="false" customHeight="false" outlineLevel="0" collapsed="false"/>
    <row r="1812" customFormat="false" ht="15" hidden="false" customHeight="false" outlineLevel="0" collapsed="false"/>
    <row r="1813" customFormat="false" ht="15" hidden="false" customHeight="false" outlineLevel="0" collapsed="false"/>
    <row r="1814" customFormat="false" ht="15" hidden="false" customHeight="false" outlineLevel="0" collapsed="false"/>
    <row r="1815" customFormat="false" ht="15" hidden="false" customHeight="false" outlineLevel="0" collapsed="false"/>
    <row r="1816" customFormat="false" ht="15" hidden="false" customHeight="false" outlineLevel="0" collapsed="false"/>
    <row r="1817" customFormat="false" ht="15" hidden="false" customHeight="false" outlineLevel="0" collapsed="false"/>
    <row r="1818" customFormat="false" ht="15" hidden="false" customHeight="false" outlineLevel="0" collapsed="false"/>
    <row r="1819" customFormat="false" ht="15" hidden="false" customHeight="false" outlineLevel="0" collapsed="false"/>
    <row r="1820" customFormat="false" ht="15" hidden="false" customHeight="false" outlineLevel="0" collapsed="false"/>
    <row r="1821" customFormat="false" ht="15" hidden="false" customHeight="false" outlineLevel="0" collapsed="false"/>
    <row r="1822" customFormat="false" ht="15" hidden="false" customHeight="false" outlineLevel="0" collapsed="false"/>
    <row r="1823" customFormat="false" ht="15" hidden="false" customHeight="false" outlineLevel="0" collapsed="false"/>
    <row r="1824" customFormat="false" ht="15" hidden="false" customHeight="false" outlineLevel="0" collapsed="false"/>
    <row r="1825" customFormat="false" ht="15" hidden="false" customHeight="false" outlineLevel="0" collapsed="false"/>
    <row r="1826" customFormat="false" ht="15" hidden="false" customHeight="false" outlineLevel="0" collapsed="false"/>
    <row r="1827" customFormat="false" ht="15" hidden="false" customHeight="false" outlineLevel="0" collapsed="false"/>
    <row r="1828" customFormat="false" ht="15" hidden="false" customHeight="false" outlineLevel="0" collapsed="false"/>
    <row r="1829" customFormat="false" ht="15" hidden="false" customHeight="false" outlineLevel="0" collapsed="false"/>
    <row r="1830" customFormat="false" ht="15" hidden="false" customHeight="false" outlineLevel="0" collapsed="false"/>
    <row r="1831" customFormat="false" ht="15" hidden="false" customHeight="false" outlineLevel="0" collapsed="false"/>
    <row r="1832" customFormat="false" ht="15" hidden="false" customHeight="false" outlineLevel="0" collapsed="false"/>
    <row r="1833" customFormat="false" ht="15" hidden="false" customHeight="false" outlineLevel="0" collapsed="false"/>
    <row r="1834" customFormat="false" ht="15" hidden="false" customHeight="false" outlineLevel="0" collapsed="false"/>
    <row r="1835" customFormat="false" ht="15" hidden="false" customHeight="false" outlineLevel="0" collapsed="false"/>
    <row r="1836" customFormat="false" ht="15" hidden="false" customHeight="false" outlineLevel="0" collapsed="false"/>
    <row r="1837" customFormat="false" ht="15" hidden="false" customHeight="false" outlineLevel="0" collapsed="false"/>
    <row r="1838" customFormat="false" ht="15" hidden="false" customHeight="false" outlineLevel="0" collapsed="false"/>
    <row r="1839" customFormat="false" ht="15" hidden="false" customHeight="false" outlineLevel="0" collapsed="false"/>
    <row r="1840" customFormat="false" ht="15" hidden="false" customHeight="false" outlineLevel="0" collapsed="false"/>
    <row r="1841" customFormat="false" ht="15" hidden="false" customHeight="false" outlineLevel="0" collapsed="false"/>
    <row r="1842" customFormat="false" ht="15" hidden="false" customHeight="false" outlineLevel="0" collapsed="false"/>
    <row r="1843" customFormat="false" ht="15" hidden="false" customHeight="false" outlineLevel="0" collapsed="false"/>
    <row r="1844" customFormat="false" ht="15" hidden="false" customHeight="false" outlineLevel="0" collapsed="false"/>
    <row r="1845" customFormat="false" ht="15" hidden="false" customHeight="false" outlineLevel="0" collapsed="false"/>
    <row r="1846" customFormat="false" ht="15" hidden="false" customHeight="false" outlineLevel="0" collapsed="false"/>
    <row r="1847" customFormat="false" ht="15" hidden="false" customHeight="false" outlineLevel="0" collapsed="false"/>
    <row r="1848" customFormat="false" ht="15" hidden="false" customHeight="false" outlineLevel="0" collapsed="false"/>
    <row r="1849" customFormat="false" ht="15" hidden="false" customHeight="false" outlineLevel="0" collapsed="false"/>
    <row r="1850" customFormat="false" ht="15" hidden="false" customHeight="false" outlineLevel="0" collapsed="false"/>
    <row r="1851" customFormat="false" ht="15" hidden="false" customHeight="false" outlineLevel="0" collapsed="false"/>
    <row r="1852" customFormat="false" ht="15" hidden="false" customHeight="false" outlineLevel="0" collapsed="false"/>
    <row r="1853" customFormat="false" ht="15" hidden="false" customHeight="false" outlineLevel="0" collapsed="false"/>
    <row r="1854" customFormat="false" ht="15" hidden="false" customHeight="false" outlineLevel="0" collapsed="false"/>
    <row r="1855" customFormat="false" ht="15" hidden="false" customHeight="false" outlineLevel="0" collapsed="false"/>
    <row r="1856" customFormat="false" ht="15" hidden="false" customHeight="false" outlineLevel="0" collapsed="false"/>
    <row r="1857" customFormat="false" ht="15" hidden="false" customHeight="false" outlineLevel="0" collapsed="false"/>
    <row r="1858" customFormat="false" ht="15" hidden="false" customHeight="false" outlineLevel="0" collapsed="false"/>
    <row r="1859" customFormat="false" ht="15" hidden="false" customHeight="false" outlineLevel="0" collapsed="false"/>
    <row r="1860" customFormat="false" ht="15" hidden="false" customHeight="false" outlineLevel="0" collapsed="false"/>
    <row r="1861" customFormat="false" ht="15" hidden="false" customHeight="false" outlineLevel="0" collapsed="false"/>
    <row r="1862" customFormat="false" ht="15" hidden="false" customHeight="false" outlineLevel="0" collapsed="false"/>
    <row r="1863" customFormat="false" ht="15" hidden="false" customHeight="false" outlineLevel="0" collapsed="false"/>
    <row r="1864" customFormat="false" ht="15" hidden="false" customHeight="false" outlineLevel="0" collapsed="false"/>
    <row r="1865" customFormat="false" ht="15" hidden="false" customHeight="false" outlineLevel="0" collapsed="false"/>
    <row r="1866" customFormat="false" ht="15" hidden="false" customHeight="false" outlineLevel="0" collapsed="false"/>
    <row r="1867" customFormat="false" ht="15" hidden="false" customHeight="false" outlineLevel="0" collapsed="false"/>
    <row r="1868" customFormat="false" ht="15" hidden="false" customHeight="false" outlineLevel="0" collapsed="false"/>
    <row r="1869" customFormat="false" ht="15" hidden="false" customHeight="false" outlineLevel="0" collapsed="false"/>
    <row r="1870" customFormat="false" ht="15" hidden="false" customHeight="false" outlineLevel="0" collapsed="false"/>
    <row r="1871" customFormat="false" ht="15" hidden="false" customHeight="false" outlineLevel="0" collapsed="false"/>
    <row r="1872" customFormat="false" ht="15" hidden="false" customHeight="false" outlineLevel="0" collapsed="false"/>
    <row r="1873" customFormat="false" ht="15" hidden="false" customHeight="false" outlineLevel="0" collapsed="false"/>
    <row r="1874" customFormat="false" ht="15" hidden="false" customHeight="false" outlineLevel="0" collapsed="false"/>
    <row r="1875" customFormat="false" ht="15" hidden="false" customHeight="false" outlineLevel="0" collapsed="false"/>
    <row r="1876" customFormat="false" ht="15" hidden="false" customHeight="false" outlineLevel="0" collapsed="false"/>
    <row r="1877" customFormat="false" ht="15" hidden="false" customHeight="false" outlineLevel="0" collapsed="false"/>
    <row r="1878" customFormat="false" ht="15" hidden="false" customHeight="false" outlineLevel="0" collapsed="false"/>
    <row r="1879" customFormat="false" ht="15" hidden="false" customHeight="false" outlineLevel="0" collapsed="false"/>
    <row r="1880" customFormat="false" ht="15" hidden="false" customHeight="false" outlineLevel="0" collapsed="false"/>
    <row r="1881" customFormat="false" ht="15" hidden="false" customHeight="false" outlineLevel="0" collapsed="false"/>
    <row r="1882" customFormat="false" ht="15" hidden="false" customHeight="false" outlineLevel="0" collapsed="false"/>
    <row r="1883" customFormat="false" ht="15" hidden="false" customHeight="false" outlineLevel="0" collapsed="false"/>
    <row r="1884" customFormat="false" ht="15" hidden="false" customHeight="false" outlineLevel="0" collapsed="false"/>
    <row r="1885" customFormat="false" ht="15" hidden="false" customHeight="false" outlineLevel="0" collapsed="false"/>
    <row r="1886" customFormat="false" ht="15" hidden="false" customHeight="false" outlineLevel="0" collapsed="false"/>
    <row r="1887" customFormat="false" ht="15" hidden="false" customHeight="false" outlineLevel="0" collapsed="false"/>
    <row r="1888" customFormat="false" ht="15" hidden="false" customHeight="false" outlineLevel="0" collapsed="false"/>
    <row r="1889" customFormat="false" ht="15" hidden="false" customHeight="false" outlineLevel="0" collapsed="false"/>
    <row r="1890" customFormat="false" ht="15" hidden="false" customHeight="false" outlineLevel="0" collapsed="false"/>
    <row r="1891" customFormat="false" ht="15" hidden="false" customHeight="false" outlineLevel="0" collapsed="false"/>
    <row r="1892" customFormat="false" ht="15" hidden="false" customHeight="false" outlineLevel="0" collapsed="false"/>
    <row r="1893" customFormat="false" ht="15" hidden="false" customHeight="false" outlineLevel="0" collapsed="false"/>
    <row r="1894" customFormat="false" ht="15" hidden="false" customHeight="false" outlineLevel="0" collapsed="false"/>
    <row r="1895" customFormat="false" ht="15" hidden="false" customHeight="false" outlineLevel="0" collapsed="false"/>
    <row r="1896" customFormat="false" ht="15" hidden="false" customHeight="false" outlineLevel="0" collapsed="false"/>
    <row r="1897" customFormat="false" ht="15" hidden="false" customHeight="false" outlineLevel="0" collapsed="false"/>
    <row r="1898" customFormat="false" ht="15" hidden="false" customHeight="false" outlineLevel="0" collapsed="false"/>
    <row r="1899" customFormat="false" ht="15" hidden="false" customHeight="false" outlineLevel="0" collapsed="false"/>
    <row r="1900" customFormat="false" ht="15" hidden="false" customHeight="false" outlineLevel="0" collapsed="false"/>
    <row r="1901" customFormat="false" ht="15" hidden="false" customHeight="false" outlineLevel="0" collapsed="false"/>
    <row r="1902" customFormat="false" ht="15" hidden="false" customHeight="false" outlineLevel="0" collapsed="false"/>
    <row r="1903" customFormat="false" ht="15" hidden="false" customHeight="false" outlineLevel="0" collapsed="false"/>
    <row r="1904" customFormat="false" ht="15" hidden="false" customHeight="false" outlineLevel="0" collapsed="false"/>
    <row r="1905" customFormat="false" ht="15" hidden="false" customHeight="false" outlineLevel="0" collapsed="false"/>
    <row r="1906" customFormat="false" ht="15" hidden="false" customHeight="false" outlineLevel="0" collapsed="false"/>
    <row r="1907" customFormat="false" ht="15" hidden="false" customHeight="false" outlineLevel="0" collapsed="false"/>
    <row r="1908" customFormat="false" ht="15" hidden="false" customHeight="false" outlineLevel="0" collapsed="false"/>
    <row r="1909" customFormat="false" ht="15" hidden="false" customHeight="false" outlineLevel="0" collapsed="false"/>
    <row r="1910" customFormat="false" ht="15" hidden="false" customHeight="false" outlineLevel="0" collapsed="false"/>
    <row r="1911" customFormat="false" ht="15" hidden="false" customHeight="false" outlineLevel="0" collapsed="false"/>
    <row r="1912" customFormat="false" ht="15" hidden="false" customHeight="false" outlineLevel="0" collapsed="false"/>
    <row r="1913" customFormat="false" ht="15" hidden="false" customHeight="false" outlineLevel="0" collapsed="false"/>
    <row r="1914" customFormat="false" ht="15" hidden="false" customHeight="false" outlineLevel="0" collapsed="false"/>
    <row r="1915" customFormat="false" ht="15" hidden="false" customHeight="false" outlineLevel="0" collapsed="false"/>
    <row r="1916" customFormat="false" ht="15" hidden="false" customHeight="false" outlineLevel="0" collapsed="false"/>
    <row r="1917" customFormat="false" ht="15" hidden="false" customHeight="false" outlineLevel="0" collapsed="false"/>
    <row r="1918" customFormat="false" ht="15" hidden="false" customHeight="false" outlineLevel="0" collapsed="false"/>
    <row r="1919" customFormat="false" ht="15" hidden="false" customHeight="false" outlineLevel="0" collapsed="false"/>
    <row r="1920" customFormat="false" ht="15" hidden="false" customHeight="false" outlineLevel="0" collapsed="false"/>
    <row r="1921" customFormat="false" ht="15" hidden="false" customHeight="false" outlineLevel="0" collapsed="false"/>
    <row r="1922" customFormat="false" ht="15" hidden="false" customHeight="false" outlineLevel="0" collapsed="false"/>
    <row r="1923" customFormat="false" ht="15" hidden="false" customHeight="false" outlineLevel="0" collapsed="false"/>
    <row r="1924" customFormat="false" ht="15" hidden="false" customHeight="false" outlineLevel="0" collapsed="false"/>
    <row r="1925" customFormat="false" ht="15" hidden="false" customHeight="false" outlineLevel="0" collapsed="false"/>
    <row r="1926" customFormat="false" ht="15" hidden="false" customHeight="false" outlineLevel="0" collapsed="false"/>
    <row r="1927" customFormat="false" ht="15" hidden="false" customHeight="false" outlineLevel="0" collapsed="false"/>
    <row r="1928" customFormat="false" ht="15" hidden="false" customHeight="false" outlineLevel="0" collapsed="false"/>
    <row r="1929" customFormat="false" ht="15" hidden="false" customHeight="false" outlineLevel="0" collapsed="false"/>
    <row r="1930" customFormat="false" ht="15" hidden="false" customHeight="false" outlineLevel="0" collapsed="false"/>
    <row r="1931" customFormat="false" ht="15" hidden="false" customHeight="false" outlineLevel="0" collapsed="false"/>
    <row r="1932" customFormat="false" ht="15" hidden="false" customHeight="false" outlineLevel="0" collapsed="false"/>
    <row r="1933" customFormat="false" ht="15" hidden="false" customHeight="false" outlineLevel="0" collapsed="false"/>
    <row r="1934" customFormat="false" ht="15" hidden="false" customHeight="false" outlineLevel="0" collapsed="false"/>
    <row r="1935" customFormat="false" ht="15" hidden="false" customHeight="false" outlineLevel="0" collapsed="false"/>
    <row r="1936" customFormat="false" ht="15" hidden="false" customHeight="false" outlineLevel="0" collapsed="false"/>
    <row r="1937" customFormat="false" ht="15" hidden="false" customHeight="false" outlineLevel="0" collapsed="false"/>
    <row r="1938" customFormat="false" ht="15" hidden="false" customHeight="false" outlineLevel="0" collapsed="false"/>
    <row r="1939" customFormat="false" ht="15" hidden="false" customHeight="false" outlineLevel="0" collapsed="false"/>
    <row r="1940" customFormat="false" ht="15" hidden="false" customHeight="false" outlineLevel="0" collapsed="false"/>
    <row r="1941" customFormat="false" ht="15" hidden="false" customHeight="false" outlineLevel="0" collapsed="false"/>
    <row r="1942" customFormat="false" ht="15" hidden="false" customHeight="false" outlineLevel="0" collapsed="false"/>
    <row r="1943" customFormat="false" ht="15" hidden="false" customHeight="false" outlineLevel="0" collapsed="false"/>
    <row r="1944" customFormat="false" ht="15" hidden="false" customHeight="false" outlineLevel="0" collapsed="false"/>
    <row r="1945" customFormat="false" ht="15" hidden="false" customHeight="false" outlineLevel="0" collapsed="false"/>
    <row r="1946" customFormat="false" ht="15" hidden="false" customHeight="false" outlineLevel="0" collapsed="false"/>
    <row r="1947" customFormat="false" ht="15" hidden="false" customHeight="false" outlineLevel="0" collapsed="false"/>
    <row r="1948" customFormat="false" ht="15" hidden="false" customHeight="false" outlineLevel="0" collapsed="false"/>
    <row r="1949" customFormat="false" ht="15" hidden="false" customHeight="false" outlineLevel="0" collapsed="false"/>
    <row r="1950" customFormat="false" ht="15" hidden="false" customHeight="false" outlineLevel="0" collapsed="false"/>
    <row r="1951" customFormat="false" ht="15" hidden="false" customHeight="false" outlineLevel="0" collapsed="false"/>
    <row r="1952" customFormat="false" ht="15" hidden="false" customHeight="false" outlineLevel="0" collapsed="false"/>
    <row r="1953" customFormat="false" ht="15" hidden="false" customHeight="false" outlineLevel="0" collapsed="false"/>
    <row r="1954" customFormat="false" ht="15" hidden="false" customHeight="false" outlineLevel="0" collapsed="false"/>
    <row r="1955" customFormat="false" ht="15" hidden="false" customHeight="false" outlineLevel="0" collapsed="false"/>
    <row r="1956" customFormat="false" ht="15" hidden="false" customHeight="false" outlineLevel="0" collapsed="false"/>
    <row r="1957" customFormat="false" ht="15" hidden="false" customHeight="false" outlineLevel="0" collapsed="false"/>
    <row r="1958" customFormat="false" ht="15" hidden="false" customHeight="false" outlineLevel="0" collapsed="false"/>
    <row r="1959" customFormat="false" ht="15" hidden="false" customHeight="false" outlineLevel="0" collapsed="false"/>
    <row r="1960" customFormat="false" ht="15" hidden="false" customHeight="false" outlineLevel="0" collapsed="false"/>
    <row r="1961" customFormat="false" ht="15" hidden="false" customHeight="false" outlineLevel="0" collapsed="false"/>
    <row r="1962" customFormat="false" ht="15" hidden="false" customHeight="false" outlineLevel="0" collapsed="false"/>
    <row r="1963" customFormat="false" ht="15" hidden="false" customHeight="false" outlineLevel="0" collapsed="false"/>
    <row r="1964" customFormat="false" ht="15" hidden="false" customHeight="false" outlineLevel="0" collapsed="false"/>
    <row r="1965" customFormat="false" ht="15" hidden="false" customHeight="false" outlineLevel="0" collapsed="false"/>
    <row r="1966" customFormat="false" ht="15" hidden="false" customHeight="false" outlineLevel="0" collapsed="false"/>
    <row r="1967" customFormat="false" ht="15" hidden="false" customHeight="false" outlineLevel="0" collapsed="false"/>
    <row r="1968" customFormat="false" ht="15" hidden="false" customHeight="false" outlineLevel="0" collapsed="false"/>
    <row r="1969" customFormat="false" ht="15" hidden="false" customHeight="false" outlineLevel="0" collapsed="false"/>
    <row r="1970" customFormat="false" ht="15" hidden="false" customHeight="false" outlineLevel="0" collapsed="false"/>
    <row r="1971" customFormat="false" ht="15" hidden="false" customHeight="false" outlineLevel="0" collapsed="false"/>
    <row r="1972" customFormat="false" ht="15" hidden="false" customHeight="false" outlineLevel="0" collapsed="false"/>
    <row r="1973" customFormat="false" ht="15" hidden="false" customHeight="false" outlineLevel="0" collapsed="false"/>
    <row r="1974" customFormat="false" ht="15" hidden="false" customHeight="false" outlineLevel="0" collapsed="false"/>
    <row r="1975" customFormat="false" ht="15" hidden="false" customHeight="false" outlineLevel="0" collapsed="false"/>
    <row r="1976" customFormat="false" ht="15" hidden="false" customHeight="false" outlineLevel="0" collapsed="false"/>
    <row r="1977" customFormat="false" ht="15" hidden="false" customHeight="false" outlineLevel="0" collapsed="false"/>
    <row r="1978" customFormat="false" ht="15" hidden="false" customHeight="false" outlineLevel="0" collapsed="false"/>
    <row r="1979" customFormat="false" ht="15" hidden="false" customHeight="false" outlineLevel="0" collapsed="false"/>
    <row r="1980" customFormat="false" ht="15" hidden="false" customHeight="false" outlineLevel="0" collapsed="false"/>
    <row r="1981" customFormat="false" ht="15" hidden="false" customHeight="false" outlineLevel="0" collapsed="false"/>
    <row r="1982" customFormat="false" ht="15" hidden="false" customHeight="false" outlineLevel="0" collapsed="false"/>
    <row r="1983" customFormat="false" ht="15" hidden="false" customHeight="false" outlineLevel="0" collapsed="false"/>
    <row r="1984" customFormat="false" ht="15" hidden="false" customHeight="false" outlineLevel="0" collapsed="false"/>
    <row r="1985" customFormat="false" ht="15" hidden="false" customHeight="false" outlineLevel="0" collapsed="false"/>
    <row r="1986" customFormat="false" ht="15" hidden="false" customHeight="false" outlineLevel="0" collapsed="false"/>
    <row r="1987" customFormat="false" ht="15" hidden="false" customHeight="false" outlineLevel="0" collapsed="false"/>
    <row r="1988" customFormat="false" ht="15" hidden="false" customHeight="false" outlineLevel="0" collapsed="false"/>
    <row r="1989" customFormat="false" ht="15" hidden="false" customHeight="false" outlineLevel="0" collapsed="false"/>
    <row r="1990" customFormat="false" ht="15" hidden="false" customHeight="false" outlineLevel="0" collapsed="false"/>
    <row r="1991" customFormat="false" ht="15" hidden="false" customHeight="false" outlineLevel="0" collapsed="false"/>
    <row r="1992" customFormat="false" ht="15" hidden="false" customHeight="false" outlineLevel="0" collapsed="false"/>
    <row r="1993" customFormat="false" ht="15" hidden="false" customHeight="false" outlineLevel="0" collapsed="false"/>
    <row r="1994" customFormat="false" ht="15" hidden="false" customHeight="false" outlineLevel="0" collapsed="false"/>
    <row r="1995" customFormat="false" ht="15" hidden="false" customHeight="false" outlineLevel="0" collapsed="false"/>
    <row r="1996" customFormat="false" ht="15" hidden="false" customHeight="false" outlineLevel="0" collapsed="false"/>
    <row r="1997" customFormat="false" ht="15" hidden="false" customHeight="false" outlineLevel="0" collapsed="false"/>
    <row r="1998" customFormat="false" ht="15" hidden="false" customHeight="false" outlineLevel="0" collapsed="false"/>
    <row r="1999" customFormat="false" ht="15" hidden="false" customHeight="false" outlineLevel="0" collapsed="false"/>
    <row r="2000" customFormat="false" ht="15" hidden="false" customHeight="false" outlineLevel="0" collapsed="false"/>
    <row r="2001" customFormat="false" ht="15" hidden="false" customHeight="false" outlineLevel="0" collapsed="false"/>
    <row r="2002" customFormat="false" ht="15" hidden="false" customHeight="false" outlineLevel="0" collapsed="false"/>
    <row r="2003" customFormat="false" ht="15" hidden="false" customHeight="false" outlineLevel="0" collapsed="false"/>
    <row r="2004" customFormat="false" ht="15" hidden="false" customHeight="false" outlineLevel="0" collapsed="false"/>
    <row r="2005" customFormat="false" ht="15" hidden="false" customHeight="false" outlineLevel="0" collapsed="false"/>
    <row r="2006" customFormat="false" ht="15" hidden="false" customHeight="false" outlineLevel="0" collapsed="false"/>
    <row r="2007" customFormat="false" ht="15" hidden="false" customHeight="false" outlineLevel="0" collapsed="false"/>
    <row r="2008" customFormat="false" ht="15" hidden="false" customHeight="false" outlineLevel="0" collapsed="false"/>
    <row r="2009" customFormat="false" ht="15" hidden="false" customHeight="false" outlineLevel="0" collapsed="false"/>
    <row r="2010" customFormat="false" ht="15" hidden="false" customHeight="false" outlineLevel="0" collapsed="false"/>
    <row r="2011" customFormat="false" ht="15" hidden="false" customHeight="false" outlineLevel="0" collapsed="false"/>
    <row r="2012" customFormat="false" ht="15" hidden="false" customHeight="false" outlineLevel="0" collapsed="false"/>
    <row r="2013" customFormat="false" ht="15" hidden="false" customHeight="false" outlineLevel="0" collapsed="false"/>
    <row r="2014" customFormat="false" ht="15" hidden="false" customHeight="false" outlineLevel="0" collapsed="false"/>
    <row r="2015" customFormat="false" ht="15" hidden="false" customHeight="false" outlineLevel="0" collapsed="false"/>
    <row r="2016" customFormat="false" ht="15" hidden="false" customHeight="false" outlineLevel="0" collapsed="false"/>
    <row r="2017" customFormat="false" ht="15" hidden="false" customHeight="false" outlineLevel="0" collapsed="false"/>
    <row r="2018" customFormat="false" ht="15" hidden="false" customHeight="false" outlineLevel="0" collapsed="false"/>
    <row r="2019" customFormat="false" ht="15" hidden="false" customHeight="false" outlineLevel="0" collapsed="false"/>
    <row r="2020" customFormat="false" ht="15" hidden="false" customHeight="false" outlineLevel="0" collapsed="false"/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5" hidden="false" customHeight="false" outlineLevel="0" collapsed="false"/>
    <row r="2025" customFormat="false" ht="15" hidden="false" customHeight="false" outlineLevel="0" collapsed="false"/>
    <row r="2026" customFormat="false" ht="15" hidden="false" customHeight="false" outlineLevel="0" collapsed="false"/>
    <row r="2027" customFormat="false" ht="15" hidden="false" customHeight="false" outlineLevel="0" collapsed="false"/>
    <row r="2028" customFormat="false" ht="15" hidden="false" customHeight="false" outlineLevel="0" collapsed="false"/>
    <row r="2029" customFormat="false" ht="15" hidden="false" customHeight="false" outlineLevel="0" collapsed="false"/>
    <row r="2030" customFormat="false" ht="15" hidden="false" customHeight="false" outlineLevel="0" collapsed="false"/>
    <row r="2031" customFormat="false" ht="15" hidden="false" customHeight="false" outlineLevel="0" collapsed="false"/>
    <row r="2032" customFormat="false" ht="15" hidden="false" customHeight="false" outlineLevel="0" collapsed="false"/>
    <row r="2033" customFormat="false" ht="15" hidden="false" customHeight="false" outlineLevel="0" collapsed="false"/>
    <row r="2034" customFormat="false" ht="15" hidden="false" customHeight="false" outlineLevel="0" collapsed="false"/>
    <row r="2035" customFormat="false" ht="15" hidden="false" customHeight="false" outlineLevel="0" collapsed="false"/>
    <row r="2036" customFormat="false" ht="15" hidden="false" customHeight="false" outlineLevel="0" collapsed="false"/>
    <row r="2037" customFormat="false" ht="15" hidden="false" customHeight="false" outlineLevel="0" collapsed="false"/>
    <row r="2038" customFormat="false" ht="15" hidden="false" customHeight="false" outlineLevel="0" collapsed="false"/>
    <row r="2039" customFormat="false" ht="15" hidden="false" customHeight="false" outlineLevel="0" collapsed="false"/>
    <row r="2040" customFormat="false" ht="15" hidden="false" customHeight="false" outlineLevel="0" collapsed="false"/>
    <row r="2041" customFormat="false" ht="15" hidden="false" customHeight="false" outlineLevel="0" collapsed="false"/>
    <row r="2042" customFormat="false" ht="15" hidden="false" customHeight="false" outlineLevel="0" collapsed="false"/>
    <row r="2043" customFormat="false" ht="15" hidden="false" customHeight="false" outlineLevel="0" collapsed="false"/>
    <row r="2044" customFormat="false" ht="15" hidden="false" customHeight="false" outlineLevel="0" collapsed="false"/>
    <row r="2045" customFormat="false" ht="15" hidden="false" customHeight="false" outlineLevel="0" collapsed="false"/>
    <row r="2046" customFormat="false" ht="15" hidden="false" customHeight="false" outlineLevel="0" collapsed="false"/>
    <row r="2047" customFormat="false" ht="15" hidden="false" customHeight="false" outlineLevel="0" collapsed="false"/>
    <row r="2048" customFormat="false" ht="15" hidden="false" customHeight="false" outlineLevel="0" collapsed="false"/>
    <row r="2049" customFormat="false" ht="15" hidden="false" customHeight="false" outlineLevel="0" collapsed="false"/>
    <row r="2050" customFormat="false" ht="15" hidden="false" customHeight="false" outlineLevel="0" collapsed="false"/>
    <row r="2051" customFormat="false" ht="15" hidden="false" customHeight="false" outlineLevel="0" collapsed="false"/>
    <row r="2052" customFormat="false" ht="15" hidden="false" customHeight="false" outlineLevel="0" collapsed="false"/>
    <row r="2053" customFormat="false" ht="15" hidden="false" customHeight="false" outlineLevel="0" collapsed="false"/>
    <row r="2054" customFormat="false" ht="15" hidden="false" customHeight="false" outlineLevel="0" collapsed="false"/>
    <row r="2055" customFormat="false" ht="15" hidden="false" customHeight="false" outlineLevel="0" collapsed="false"/>
    <row r="2056" customFormat="false" ht="15" hidden="false" customHeight="false" outlineLevel="0" collapsed="false"/>
    <row r="2057" customFormat="false" ht="15" hidden="false" customHeight="false" outlineLevel="0" collapsed="false"/>
    <row r="2058" customFormat="false" ht="15" hidden="false" customHeight="false" outlineLevel="0" collapsed="false"/>
    <row r="2059" customFormat="false" ht="15" hidden="false" customHeight="false" outlineLevel="0" collapsed="false"/>
    <row r="2060" customFormat="false" ht="15" hidden="false" customHeight="false" outlineLevel="0" collapsed="false"/>
    <row r="2061" customFormat="false" ht="15" hidden="false" customHeight="false" outlineLevel="0" collapsed="false"/>
    <row r="2062" customFormat="false" ht="15" hidden="false" customHeight="false" outlineLevel="0" collapsed="false"/>
    <row r="2063" customFormat="false" ht="15" hidden="false" customHeight="false" outlineLevel="0" collapsed="false"/>
    <row r="2064" customFormat="false" ht="15" hidden="false" customHeight="false" outlineLevel="0" collapsed="false"/>
    <row r="2065" customFormat="false" ht="15" hidden="false" customHeight="false" outlineLevel="0" collapsed="false"/>
    <row r="2066" customFormat="false" ht="15" hidden="false" customHeight="false" outlineLevel="0" collapsed="false"/>
    <row r="2067" customFormat="false" ht="15" hidden="false" customHeight="false" outlineLevel="0" collapsed="false"/>
    <row r="2068" customFormat="false" ht="15" hidden="false" customHeight="false" outlineLevel="0" collapsed="false"/>
    <row r="2069" customFormat="false" ht="15" hidden="false" customHeight="false" outlineLevel="0" collapsed="false"/>
    <row r="2070" customFormat="false" ht="15" hidden="false" customHeight="false" outlineLevel="0" collapsed="false"/>
    <row r="2071" customFormat="false" ht="15" hidden="false" customHeight="false" outlineLevel="0" collapsed="false"/>
    <row r="2072" customFormat="false" ht="15" hidden="false" customHeight="false" outlineLevel="0" collapsed="false"/>
    <row r="2073" customFormat="false" ht="15" hidden="false" customHeight="false" outlineLevel="0" collapsed="false"/>
    <row r="2074" customFormat="false" ht="15" hidden="false" customHeight="false" outlineLevel="0" collapsed="false"/>
    <row r="2075" customFormat="false" ht="15" hidden="false" customHeight="false" outlineLevel="0" collapsed="false"/>
    <row r="2076" customFormat="false" ht="15" hidden="false" customHeight="false" outlineLevel="0" collapsed="false"/>
    <row r="2077" customFormat="false" ht="15" hidden="false" customHeight="false" outlineLevel="0" collapsed="false"/>
    <row r="2078" customFormat="false" ht="15" hidden="false" customHeight="false" outlineLevel="0" collapsed="false"/>
    <row r="2079" customFormat="false" ht="15" hidden="false" customHeight="false" outlineLevel="0" collapsed="false"/>
    <row r="2080" customFormat="false" ht="15" hidden="false" customHeight="false" outlineLevel="0" collapsed="false"/>
    <row r="2081" customFormat="false" ht="15" hidden="false" customHeight="false" outlineLevel="0" collapsed="false"/>
    <row r="2082" customFormat="false" ht="15" hidden="false" customHeight="false" outlineLevel="0" collapsed="false"/>
    <row r="2083" customFormat="false" ht="15" hidden="false" customHeight="false" outlineLevel="0" collapsed="false"/>
    <row r="2084" customFormat="false" ht="15" hidden="false" customHeight="false" outlineLevel="0" collapsed="false"/>
    <row r="2085" customFormat="false" ht="15" hidden="false" customHeight="false" outlineLevel="0" collapsed="false"/>
    <row r="2086" customFormat="false" ht="15" hidden="false" customHeight="false" outlineLevel="0" collapsed="false"/>
    <row r="2087" customFormat="false" ht="15" hidden="false" customHeight="false" outlineLevel="0" collapsed="false"/>
    <row r="2088" customFormat="false" ht="15" hidden="false" customHeight="false" outlineLevel="0" collapsed="false"/>
    <row r="2089" customFormat="false" ht="15" hidden="false" customHeight="false" outlineLevel="0" collapsed="false"/>
    <row r="2090" customFormat="false" ht="15" hidden="false" customHeight="false" outlineLevel="0" collapsed="false"/>
    <row r="2091" customFormat="false" ht="15" hidden="false" customHeight="false" outlineLevel="0" collapsed="false"/>
    <row r="2092" customFormat="false" ht="15" hidden="false" customHeight="false" outlineLevel="0" collapsed="false"/>
    <row r="2093" customFormat="false" ht="15" hidden="false" customHeight="false" outlineLevel="0" collapsed="false"/>
    <row r="2094" customFormat="false" ht="15" hidden="false" customHeight="false" outlineLevel="0" collapsed="false"/>
    <row r="2095" customFormat="false" ht="15" hidden="false" customHeight="false" outlineLevel="0" collapsed="false"/>
    <row r="2096" customFormat="false" ht="15" hidden="false" customHeight="false" outlineLevel="0" collapsed="false"/>
    <row r="2097" customFormat="false" ht="15" hidden="false" customHeight="false" outlineLevel="0" collapsed="false"/>
    <row r="2098" customFormat="false" ht="15" hidden="false" customHeight="false" outlineLevel="0" collapsed="false"/>
    <row r="2099" customFormat="false" ht="15" hidden="false" customHeight="false" outlineLevel="0" collapsed="false"/>
    <row r="2100" customFormat="false" ht="15" hidden="false" customHeight="false" outlineLevel="0" collapsed="false"/>
    <row r="2101" customFormat="false" ht="15" hidden="false" customHeight="false" outlineLevel="0" collapsed="false"/>
    <row r="2102" customFormat="false" ht="15" hidden="false" customHeight="false" outlineLevel="0" collapsed="false"/>
    <row r="2103" customFormat="false" ht="15" hidden="false" customHeight="false" outlineLevel="0" collapsed="false"/>
    <row r="2104" customFormat="false" ht="15" hidden="false" customHeight="false" outlineLevel="0" collapsed="false"/>
    <row r="2105" customFormat="false" ht="15" hidden="false" customHeight="false" outlineLevel="0" collapsed="false"/>
    <row r="2106" customFormat="false" ht="15" hidden="false" customHeight="false" outlineLevel="0" collapsed="false"/>
    <row r="2107" customFormat="false" ht="15" hidden="false" customHeight="false" outlineLevel="0" collapsed="false"/>
    <row r="2108" customFormat="false" ht="15" hidden="false" customHeight="false" outlineLevel="0" collapsed="false"/>
    <row r="2109" customFormat="false" ht="15" hidden="false" customHeight="false" outlineLevel="0" collapsed="false"/>
    <row r="2110" customFormat="false" ht="15" hidden="false" customHeight="false" outlineLevel="0" collapsed="false"/>
    <row r="2111" customFormat="false" ht="15" hidden="false" customHeight="false" outlineLevel="0" collapsed="false"/>
    <row r="2112" customFormat="false" ht="15" hidden="false" customHeight="false" outlineLevel="0" collapsed="false"/>
    <row r="2113" customFormat="false" ht="15" hidden="false" customHeight="false" outlineLevel="0" collapsed="false"/>
    <row r="2114" customFormat="false" ht="15" hidden="false" customHeight="false" outlineLevel="0" collapsed="false"/>
    <row r="2115" customFormat="false" ht="15" hidden="false" customHeight="false" outlineLevel="0" collapsed="false"/>
    <row r="2116" customFormat="false" ht="15" hidden="false" customHeight="false" outlineLevel="0" collapsed="false"/>
    <row r="2117" customFormat="false" ht="15" hidden="false" customHeight="false" outlineLevel="0" collapsed="false"/>
    <row r="2118" customFormat="false" ht="15" hidden="false" customHeight="false" outlineLevel="0" collapsed="false"/>
    <row r="2119" customFormat="false" ht="15" hidden="false" customHeight="false" outlineLevel="0" collapsed="false"/>
    <row r="2120" customFormat="false" ht="15" hidden="false" customHeight="false" outlineLevel="0" collapsed="false"/>
    <row r="2121" customFormat="false" ht="15" hidden="false" customHeight="false" outlineLevel="0" collapsed="false"/>
    <row r="2122" customFormat="false" ht="15" hidden="false" customHeight="false" outlineLevel="0" collapsed="false"/>
    <row r="2123" customFormat="false" ht="15" hidden="false" customHeight="false" outlineLevel="0" collapsed="false"/>
    <row r="2124" customFormat="false" ht="15" hidden="false" customHeight="false" outlineLevel="0" collapsed="false"/>
    <row r="2125" customFormat="false" ht="15" hidden="false" customHeight="false" outlineLevel="0" collapsed="false"/>
    <row r="2126" customFormat="false" ht="15" hidden="false" customHeight="false" outlineLevel="0" collapsed="false"/>
    <row r="2127" customFormat="false" ht="15" hidden="false" customHeight="false" outlineLevel="0" collapsed="false"/>
    <row r="2128" customFormat="false" ht="15" hidden="false" customHeight="false" outlineLevel="0" collapsed="false"/>
    <row r="2129" customFormat="false" ht="15" hidden="false" customHeight="false" outlineLevel="0" collapsed="false"/>
    <row r="2130" customFormat="false" ht="15" hidden="false" customHeight="false" outlineLevel="0" collapsed="false"/>
    <row r="2131" customFormat="false" ht="15" hidden="false" customHeight="false" outlineLevel="0" collapsed="false"/>
    <row r="2132" customFormat="false" ht="15" hidden="false" customHeight="false" outlineLevel="0" collapsed="false"/>
    <row r="2133" customFormat="false" ht="15" hidden="false" customHeight="false" outlineLevel="0" collapsed="false"/>
    <row r="2134" customFormat="false" ht="15" hidden="false" customHeight="false" outlineLevel="0" collapsed="false"/>
    <row r="2135" customFormat="false" ht="15" hidden="false" customHeight="false" outlineLevel="0" collapsed="false"/>
    <row r="2136" customFormat="false" ht="15" hidden="false" customHeight="false" outlineLevel="0" collapsed="false"/>
    <row r="2137" customFormat="false" ht="15" hidden="false" customHeight="false" outlineLevel="0" collapsed="false"/>
    <row r="2138" customFormat="false" ht="15" hidden="false" customHeight="false" outlineLevel="0" collapsed="false"/>
    <row r="2139" customFormat="false" ht="15" hidden="false" customHeight="false" outlineLevel="0" collapsed="false"/>
    <row r="2140" customFormat="false" ht="15" hidden="false" customHeight="false" outlineLevel="0" collapsed="false"/>
    <row r="2141" customFormat="false" ht="15" hidden="false" customHeight="false" outlineLevel="0" collapsed="false"/>
    <row r="2142" customFormat="false" ht="15" hidden="false" customHeight="false" outlineLevel="0" collapsed="false"/>
    <row r="2143" customFormat="false" ht="15" hidden="false" customHeight="false" outlineLevel="0" collapsed="false"/>
    <row r="2144" customFormat="false" ht="15" hidden="false" customHeight="false" outlineLevel="0" collapsed="false"/>
    <row r="2145" customFormat="false" ht="15" hidden="false" customHeight="false" outlineLevel="0" collapsed="false"/>
    <row r="2146" customFormat="false" ht="15" hidden="false" customHeight="false" outlineLevel="0" collapsed="false"/>
    <row r="2147" customFormat="false" ht="15" hidden="false" customHeight="false" outlineLevel="0" collapsed="false"/>
    <row r="2148" customFormat="false" ht="15" hidden="false" customHeight="false" outlineLevel="0" collapsed="false"/>
    <row r="2149" customFormat="false" ht="15" hidden="false" customHeight="false" outlineLevel="0" collapsed="false"/>
    <row r="2150" customFormat="false" ht="15" hidden="false" customHeight="false" outlineLevel="0" collapsed="false"/>
    <row r="2151" customFormat="false" ht="15" hidden="false" customHeight="false" outlineLevel="0" collapsed="false"/>
    <row r="2152" customFormat="false" ht="15" hidden="false" customHeight="false" outlineLevel="0" collapsed="false"/>
    <row r="2153" customFormat="false" ht="15" hidden="false" customHeight="false" outlineLevel="0" collapsed="false"/>
    <row r="2154" customFormat="false" ht="15" hidden="false" customHeight="false" outlineLevel="0" collapsed="false"/>
    <row r="2155" customFormat="false" ht="15" hidden="false" customHeight="false" outlineLevel="0" collapsed="false"/>
    <row r="2156" customFormat="false" ht="15" hidden="false" customHeight="false" outlineLevel="0" collapsed="false"/>
    <row r="2157" customFormat="false" ht="15" hidden="false" customHeight="false" outlineLevel="0" collapsed="false"/>
    <row r="2158" customFormat="false" ht="15" hidden="false" customHeight="false" outlineLevel="0" collapsed="false"/>
    <row r="2159" customFormat="false" ht="15" hidden="false" customHeight="false" outlineLevel="0" collapsed="false"/>
    <row r="2160" customFormat="false" ht="15" hidden="false" customHeight="false" outlineLevel="0" collapsed="false"/>
    <row r="2161" customFormat="false" ht="15" hidden="false" customHeight="false" outlineLevel="0" collapsed="false"/>
    <row r="2162" customFormat="false" ht="15" hidden="false" customHeight="false" outlineLevel="0" collapsed="false"/>
    <row r="2163" customFormat="false" ht="15" hidden="false" customHeight="false" outlineLevel="0" collapsed="false"/>
    <row r="2164" customFormat="false" ht="15" hidden="false" customHeight="false" outlineLevel="0" collapsed="false"/>
    <row r="2165" customFormat="false" ht="15" hidden="false" customHeight="false" outlineLevel="0" collapsed="false"/>
    <row r="2166" customFormat="false" ht="15" hidden="false" customHeight="false" outlineLevel="0" collapsed="false"/>
    <row r="2167" customFormat="false" ht="15" hidden="false" customHeight="false" outlineLevel="0" collapsed="false"/>
    <row r="2168" customFormat="false" ht="15" hidden="false" customHeight="false" outlineLevel="0" collapsed="false"/>
    <row r="2169" customFormat="false" ht="15" hidden="false" customHeight="false" outlineLevel="0" collapsed="false"/>
    <row r="2170" customFormat="false" ht="15" hidden="false" customHeight="false" outlineLevel="0" collapsed="false"/>
    <row r="2171" customFormat="false" ht="15" hidden="false" customHeight="false" outlineLevel="0" collapsed="false"/>
    <row r="2172" customFormat="false" ht="15" hidden="false" customHeight="false" outlineLevel="0" collapsed="false"/>
    <row r="2173" customFormat="false" ht="15" hidden="false" customHeight="false" outlineLevel="0" collapsed="false"/>
    <row r="2174" customFormat="false" ht="15" hidden="false" customHeight="false" outlineLevel="0" collapsed="false"/>
    <row r="2175" customFormat="false" ht="15" hidden="false" customHeight="false" outlineLevel="0" collapsed="false"/>
    <row r="2176" customFormat="false" ht="15" hidden="false" customHeight="false" outlineLevel="0" collapsed="false"/>
    <row r="2177" customFormat="false" ht="15" hidden="false" customHeight="false" outlineLevel="0" collapsed="false"/>
    <row r="2178" customFormat="false" ht="15" hidden="false" customHeight="false" outlineLevel="0" collapsed="false"/>
    <row r="2179" customFormat="false" ht="15" hidden="false" customHeight="false" outlineLevel="0" collapsed="false"/>
    <row r="2180" customFormat="false" ht="15" hidden="false" customHeight="false" outlineLevel="0" collapsed="false"/>
    <row r="2181" customFormat="false" ht="15" hidden="false" customHeight="false" outlineLevel="0" collapsed="false"/>
    <row r="2182" customFormat="false" ht="15" hidden="false" customHeight="false" outlineLevel="0" collapsed="false"/>
    <row r="2183" customFormat="false" ht="15" hidden="false" customHeight="false" outlineLevel="0" collapsed="false"/>
    <row r="2184" customFormat="false" ht="15" hidden="false" customHeight="false" outlineLevel="0" collapsed="false"/>
    <row r="2185" customFormat="false" ht="15" hidden="false" 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llapsed="false"/>
    <row r="2188" customFormat="false" ht="15" hidden="false" customHeight="false" outlineLevel="0" collapsed="false"/>
    <row r="2189" customFormat="false" ht="15" hidden="false" customHeight="false" outlineLevel="0" collapsed="false"/>
    <row r="2190" customFormat="false" ht="15" hidden="false" customHeight="false" outlineLevel="0" collapsed="false"/>
    <row r="2191" customFormat="false" ht="15" hidden="false" customHeight="false" outlineLevel="0" collapsed="false"/>
    <row r="2192" customFormat="false" ht="15" hidden="false" customHeight="false" outlineLevel="0" collapsed="false"/>
    <row r="2193" customFormat="false" ht="15" hidden="false" customHeight="false" outlineLevel="0" collapsed="false"/>
    <row r="2194" customFormat="false" ht="15" hidden="false" customHeight="false" outlineLevel="0" collapsed="false"/>
    <row r="2195" customFormat="false" ht="15" hidden="false" customHeight="false" outlineLevel="0" collapsed="false"/>
    <row r="2196" customFormat="false" ht="15" hidden="false" customHeight="false" outlineLevel="0" collapsed="false"/>
    <row r="2197" customFormat="false" ht="15" hidden="false" customHeight="false" outlineLevel="0" collapsed="false"/>
    <row r="2198" customFormat="false" ht="15" hidden="false" customHeight="false" outlineLevel="0" collapsed="false"/>
    <row r="2199" customFormat="false" ht="15" hidden="false" customHeight="false" outlineLevel="0" collapsed="false"/>
    <row r="2200" customFormat="false" ht="15" hidden="false" customHeight="false" outlineLevel="0" collapsed="false"/>
    <row r="2201" customFormat="false" ht="15" hidden="false" customHeight="false" outlineLevel="0" collapsed="false"/>
    <row r="2202" customFormat="false" ht="15" hidden="false" customHeight="false" outlineLevel="0" collapsed="false"/>
    <row r="2203" customFormat="false" ht="15" hidden="false" customHeight="false" outlineLevel="0" collapsed="false"/>
    <row r="2204" customFormat="false" ht="15" hidden="false" customHeight="false" outlineLevel="0" collapsed="false"/>
    <row r="2205" customFormat="false" ht="15" hidden="false" customHeight="false" outlineLevel="0" collapsed="false"/>
    <row r="2206" customFormat="false" ht="15" hidden="false" customHeight="false" outlineLevel="0" collapsed="false"/>
    <row r="2207" customFormat="false" ht="15" hidden="false" customHeight="false" outlineLevel="0" collapsed="false"/>
    <row r="2208" customFormat="false" ht="15" hidden="false" customHeight="false" outlineLevel="0" collapsed="false"/>
    <row r="2209" customFormat="false" ht="15" hidden="false" customHeight="false" outlineLevel="0" collapsed="false"/>
    <row r="2210" customFormat="false" ht="15" hidden="false" customHeight="false" outlineLevel="0" collapsed="false"/>
    <row r="2211" customFormat="false" ht="15" hidden="false" customHeight="false" outlineLevel="0" collapsed="false"/>
    <row r="2212" customFormat="false" ht="15" hidden="false" customHeight="false" outlineLevel="0" collapsed="false"/>
    <row r="2213" customFormat="false" ht="15" hidden="false" customHeight="false" outlineLevel="0" collapsed="false"/>
    <row r="2214" customFormat="false" ht="15" hidden="false" customHeight="false" outlineLevel="0" collapsed="false"/>
    <row r="2215" customFormat="false" ht="15" hidden="false" customHeight="false" outlineLevel="0" collapsed="false"/>
    <row r="2216" customFormat="false" ht="15" hidden="false" customHeight="false" outlineLevel="0" collapsed="false"/>
    <row r="2217" customFormat="false" ht="15" hidden="false" customHeight="false" outlineLevel="0" collapsed="false"/>
    <row r="2218" customFormat="false" ht="15" hidden="false" customHeight="false" outlineLevel="0" collapsed="false"/>
    <row r="2219" customFormat="false" ht="15" hidden="false" customHeight="false" outlineLevel="0" collapsed="false"/>
    <row r="2220" customFormat="false" ht="15" hidden="false" customHeight="false" outlineLevel="0" collapsed="false"/>
    <row r="2221" customFormat="false" ht="15" hidden="false" customHeight="false" outlineLevel="0" collapsed="false"/>
    <row r="2222" customFormat="false" ht="15" hidden="false" customHeight="false" outlineLevel="0" collapsed="false"/>
    <row r="2223" customFormat="false" ht="15" hidden="false" customHeight="false" outlineLevel="0" collapsed="false"/>
    <row r="2224" customFormat="false" ht="15" hidden="false" customHeight="false" outlineLevel="0" collapsed="false"/>
    <row r="2225" customFormat="false" ht="15" hidden="false" customHeight="false" outlineLevel="0" collapsed="false"/>
    <row r="2226" customFormat="false" ht="15" hidden="false" customHeight="false" outlineLevel="0" collapsed="false"/>
    <row r="2227" customFormat="false" ht="15" hidden="false" customHeight="false" outlineLevel="0" collapsed="false"/>
    <row r="2228" customFormat="false" ht="15" hidden="false" customHeight="false" outlineLevel="0" collapsed="false"/>
    <row r="2229" customFormat="false" ht="15" hidden="false" customHeight="false" outlineLevel="0" collapsed="false"/>
    <row r="2230" customFormat="false" ht="15" hidden="false" customHeight="false" outlineLevel="0" collapsed="false"/>
    <row r="2231" customFormat="false" ht="15" hidden="false" customHeight="false" outlineLevel="0" collapsed="false"/>
    <row r="2232" customFormat="false" ht="15" hidden="false" customHeight="false" outlineLevel="0" collapsed="false"/>
    <row r="2233" customFormat="false" ht="15" hidden="false" customHeight="false" outlineLevel="0" collapsed="false"/>
    <row r="2234" customFormat="false" ht="15" hidden="false" customHeight="false" outlineLevel="0" collapsed="false"/>
    <row r="2235" customFormat="false" ht="15" hidden="false" customHeight="false" outlineLevel="0" collapsed="false"/>
    <row r="2236" customFormat="false" ht="15" hidden="false" customHeight="false" outlineLevel="0" collapsed="false"/>
    <row r="2237" customFormat="false" ht="15" hidden="false" customHeight="false" outlineLevel="0" collapsed="false"/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5" hidden="false" customHeight="false" outlineLevel="0" collapsed="false"/>
    <row r="2242" customFormat="false" ht="15" hidden="false" customHeight="false" outlineLevel="0" collapsed="false"/>
    <row r="2243" customFormat="false" ht="15" hidden="false" customHeight="false" outlineLevel="0" collapsed="false"/>
    <row r="2244" customFormat="false" ht="15" hidden="false" customHeight="false" outlineLevel="0" collapsed="false"/>
    <row r="2245" customFormat="false" ht="15" hidden="false" customHeight="false" outlineLevel="0" collapsed="false"/>
    <row r="2246" customFormat="false" ht="15" hidden="false" customHeight="false" outlineLevel="0" collapsed="false"/>
    <row r="2247" customFormat="false" ht="15" hidden="false" customHeight="false" outlineLevel="0" collapsed="false"/>
    <row r="2248" customFormat="false" ht="15" hidden="false" customHeight="false" outlineLevel="0" collapsed="false"/>
    <row r="2249" customFormat="false" ht="15" hidden="false" customHeight="false" outlineLevel="0" collapsed="false"/>
    <row r="2250" customFormat="false" ht="15" hidden="false" customHeight="false" outlineLevel="0" collapsed="false"/>
    <row r="2251" customFormat="false" ht="15" hidden="false" customHeight="false" outlineLevel="0" collapsed="false"/>
    <row r="2252" customFormat="false" ht="15" hidden="false" customHeight="false" outlineLevel="0" collapsed="false"/>
    <row r="2253" customFormat="false" ht="15" hidden="false" customHeight="false" outlineLevel="0" collapsed="false"/>
    <row r="2254" customFormat="false" ht="15" hidden="false" customHeight="false" outlineLevel="0" collapsed="false"/>
    <row r="2255" customFormat="false" ht="15" hidden="false" customHeight="false" outlineLevel="0" collapsed="false"/>
    <row r="2256" customFormat="false" ht="15" hidden="false" customHeight="false" outlineLevel="0" collapsed="false"/>
    <row r="2257" customFormat="false" ht="15" hidden="false" customHeight="false" outlineLevel="0" collapsed="false"/>
    <row r="2258" customFormat="false" ht="15" hidden="false" customHeight="false" outlineLevel="0" collapsed="false"/>
    <row r="2259" customFormat="false" ht="15" hidden="false" customHeight="false" outlineLevel="0" collapsed="false"/>
    <row r="2260" customFormat="false" ht="15" hidden="false" customHeight="false" outlineLevel="0" collapsed="false"/>
    <row r="2261" customFormat="false" ht="15" hidden="false" customHeight="false" outlineLevel="0" collapsed="false"/>
    <row r="2262" customFormat="false" ht="15" hidden="false" customHeight="false" outlineLevel="0" collapsed="false"/>
    <row r="2263" customFormat="false" ht="15" hidden="false" customHeight="false" outlineLevel="0" collapsed="false"/>
    <row r="2264" customFormat="false" ht="15" hidden="false" customHeight="false" outlineLevel="0" collapsed="false"/>
    <row r="2265" customFormat="false" ht="15" hidden="false" customHeight="false" outlineLevel="0" collapsed="false"/>
    <row r="2266" customFormat="false" ht="15" hidden="false" customHeight="false" outlineLevel="0" collapsed="false"/>
    <row r="2267" customFormat="false" ht="15" hidden="false" customHeight="false" outlineLevel="0" collapsed="false"/>
    <row r="2268" customFormat="false" ht="15" hidden="false" customHeight="false" outlineLevel="0" collapsed="false"/>
    <row r="2269" customFormat="false" ht="15" hidden="false" customHeight="false" outlineLevel="0" collapsed="false"/>
    <row r="2270" customFormat="false" ht="15" hidden="false" customHeight="false" outlineLevel="0" collapsed="false"/>
    <row r="2271" customFormat="false" ht="15" hidden="false" customHeight="false" outlineLevel="0" collapsed="false"/>
    <row r="2272" customFormat="false" ht="15" hidden="false" customHeight="false" outlineLevel="0" collapsed="false"/>
    <row r="2273" customFormat="false" ht="15" hidden="false" customHeight="false" outlineLevel="0" collapsed="false"/>
    <row r="2274" customFormat="false" ht="15" hidden="false" customHeight="false" outlineLevel="0" collapsed="false"/>
    <row r="2275" customFormat="false" ht="15" hidden="false" customHeight="false" outlineLevel="0" collapsed="false"/>
    <row r="2276" customFormat="false" ht="15" hidden="false" customHeight="false" outlineLevel="0" collapsed="false"/>
    <row r="2277" customFormat="false" ht="15" hidden="false" customHeight="false" outlineLevel="0" collapsed="false"/>
    <row r="2278" customFormat="false" ht="15" hidden="false" customHeight="false" outlineLevel="0" collapsed="false"/>
    <row r="2279" customFormat="false" ht="15" hidden="false" customHeight="false" outlineLevel="0" collapsed="false"/>
    <row r="2280" customFormat="false" ht="15" hidden="false" customHeight="false" outlineLevel="0" collapsed="false"/>
    <row r="2281" customFormat="false" ht="15" hidden="false" customHeight="false" outlineLevel="0" collapsed="false"/>
    <row r="2282" customFormat="false" ht="15" hidden="false" customHeight="false" outlineLevel="0" collapsed="false"/>
    <row r="2283" customFormat="false" ht="15" hidden="false" customHeight="false" outlineLevel="0" collapsed="false"/>
    <row r="2284" customFormat="false" ht="15" hidden="false" customHeight="false" outlineLevel="0" collapsed="false"/>
    <row r="2285" customFormat="false" ht="15" hidden="false" customHeight="false" outlineLevel="0" collapsed="false"/>
    <row r="2286" customFormat="false" ht="15" hidden="false" customHeight="false" outlineLevel="0" collapsed="false"/>
    <row r="2287" customFormat="false" ht="15" hidden="false" customHeight="false" outlineLevel="0" collapsed="false"/>
    <row r="2288" customFormat="false" ht="15" hidden="false" customHeight="false" outlineLevel="0" collapsed="false"/>
    <row r="2289" customFormat="false" ht="15" hidden="false" customHeight="false" outlineLevel="0" collapsed="false"/>
    <row r="2290" customFormat="false" ht="15" hidden="false" customHeight="false" outlineLevel="0" collapsed="false"/>
    <row r="2291" customFormat="false" ht="15" hidden="false" customHeight="false" outlineLevel="0" collapsed="false"/>
    <row r="2292" customFormat="false" ht="15" hidden="false" customHeight="false" outlineLevel="0" collapsed="false"/>
    <row r="2293" customFormat="false" ht="15" hidden="false" customHeight="false" outlineLevel="0" collapsed="false"/>
    <row r="2294" customFormat="false" ht="15" hidden="false" customHeight="false" outlineLevel="0" collapsed="false"/>
    <row r="2295" customFormat="false" ht="15" hidden="false" customHeight="false" outlineLevel="0" collapsed="false"/>
    <row r="2296" customFormat="false" ht="15" hidden="false" customHeight="false" outlineLevel="0" collapsed="false"/>
    <row r="2297" customFormat="false" ht="15" hidden="false" customHeight="false" outlineLevel="0" collapsed="false"/>
    <row r="2298" customFormat="false" ht="15" hidden="false" customHeight="false" outlineLevel="0" collapsed="false"/>
    <row r="2299" customFormat="false" ht="15" hidden="false" customHeight="false" outlineLevel="0" collapsed="false"/>
    <row r="2300" customFormat="false" ht="15" hidden="false" customHeight="false" outlineLevel="0" collapsed="false"/>
    <row r="2301" customFormat="false" ht="15" hidden="false" customHeight="false" outlineLevel="0" collapsed="false"/>
    <row r="2302" customFormat="false" ht="15" hidden="false" customHeight="false" outlineLevel="0" collapsed="false"/>
    <row r="2303" customFormat="false" ht="15" hidden="false" customHeight="false" outlineLevel="0" collapsed="false"/>
    <row r="2304" customFormat="false" ht="15" hidden="false" customHeight="false" outlineLevel="0" collapsed="false"/>
    <row r="2305" customFormat="false" ht="15" hidden="false" customHeight="false" outlineLevel="0" collapsed="false"/>
    <row r="2306" customFormat="false" ht="15" hidden="false" customHeight="false" outlineLevel="0" collapsed="false"/>
    <row r="2307" customFormat="false" ht="15" hidden="false" customHeight="false" outlineLevel="0" collapsed="false"/>
    <row r="2308" customFormat="false" ht="15" hidden="false" customHeight="false" outlineLevel="0" collapsed="false"/>
    <row r="2309" customFormat="false" ht="15" hidden="false" customHeight="false" outlineLevel="0" collapsed="false"/>
    <row r="2310" customFormat="false" ht="15" hidden="false" customHeight="false" outlineLevel="0" collapsed="false"/>
    <row r="2311" customFormat="false" ht="15" hidden="false" customHeight="false" outlineLevel="0" collapsed="false"/>
    <row r="2312" customFormat="false" ht="15" hidden="false" customHeight="false" outlineLevel="0" collapsed="false"/>
    <row r="2313" customFormat="false" ht="15" hidden="false" customHeight="false" outlineLevel="0" collapsed="false"/>
    <row r="2314" customFormat="false" ht="15" hidden="false" customHeight="false" outlineLevel="0" collapsed="false"/>
    <row r="2315" customFormat="false" ht="15" hidden="false" customHeight="false" outlineLevel="0" collapsed="false"/>
    <row r="2316" customFormat="false" ht="15" hidden="false" customHeight="false" outlineLevel="0" collapsed="false"/>
    <row r="2317" customFormat="false" ht="15" hidden="false" customHeight="false" outlineLevel="0" collapsed="false"/>
    <row r="2318" customFormat="false" ht="15" hidden="false" customHeight="false" outlineLevel="0" collapsed="false"/>
    <row r="2319" customFormat="false" ht="15" hidden="false" customHeight="false" outlineLevel="0" collapsed="false"/>
    <row r="2320" customFormat="false" ht="15" hidden="false" customHeight="false" outlineLevel="0" collapsed="false"/>
    <row r="2321" customFormat="false" ht="15" hidden="false" customHeight="false" outlineLevel="0" collapsed="false"/>
    <row r="2322" customFormat="false" ht="15" hidden="false" customHeight="false" outlineLevel="0" collapsed="false"/>
    <row r="2323" customFormat="false" ht="15" hidden="false" customHeight="false" outlineLevel="0" collapsed="false"/>
    <row r="2324" customFormat="false" ht="15" hidden="false" customHeight="false" outlineLevel="0" collapsed="false"/>
    <row r="2325" customFormat="false" ht="15" hidden="false" customHeight="false" outlineLevel="0" collapsed="false"/>
    <row r="2326" customFormat="false" ht="15" hidden="false" customHeight="false" outlineLevel="0" collapsed="false"/>
    <row r="2327" customFormat="false" ht="15" hidden="false" customHeight="false" outlineLevel="0" collapsed="false"/>
    <row r="2328" customFormat="false" ht="15" hidden="false" customHeight="false" outlineLevel="0" collapsed="false"/>
    <row r="2329" customFormat="false" ht="15" hidden="false" customHeight="false" outlineLevel="0" collapsed="false"/>
    <row r="2330" customFormat="false" ht="15" hidden="false" customHeight="false" outlineLevel="0" collapsed="false"/>
    <row r="2331" customFormat="false" ht="15" hidden="false" customHeight="false" outlineLevel="0" collapsed="false"/>
    <row r="2332" customFormat="false" ht="15" hidden="false" customHeight="false" outlineLevel="0" collapsed="false"/>
    <row r="2333" customFormat="false" ht="15" hidden="false" customHeight="false" outlineLevel="0" collapsed="false"/>
    <row r="2334" customFormat="false" ht="15" hidden="false" customHeight="false" outlineLevel="0" collapsed="false"/>
    <row r="2335" customFormat="false" ht="15" hidden="false" customHeight="false" outlineLevel="0" collapsed="false"/>
    <row r="2336" customFormat="false" ht="15" hidden="false" customHeight="false" outlineLevel="0" collapsed="false"/>
    <row r="2337" customFormat="false" ht="15" hidden="false" customHeight="false" outlineLevel="0" collapsed="false"/>
    <row r="2338" customFormat="false" ht="15" hidden="false" customHeight="false" outlineLevel="0" collapsed="false"/>
    <row r="2339" customFormat="false" ht="15" hidden="false" customHeight="false" outlineLevel="0" collapsed="false"/>
    <row r="2340" customFormat="false" ht="15" hidden="false" customHeight="false" outlineLevel="0" collapsed="false"/>
    <row r="2341" customFormat="false" ht="15" hidden="false" customHeight="false" outlineLevel="0" collapsed="false"/>
    <row r="2342" customFormat="false" ht="15" hidden="false" customHeight="false" outlineLevel="0" collapsed="false"/>
    <row r="2343" customFormat="false" ht="15" hidden="false" customHeight="false" outlineLevel="0" collapsed="false"/>
    <row r="2344" customFormat="false" ht="15" hidden="false" customHeight="false" outlineLevel="0" collapsed="false"/>
    <row r="2345" customFormat="false" ht="15" hidden="false" customHeight="false" outlineLevel="0" collapsed="false"/>
    <row r="2346" customFormat="false" ht="15" hidden="false" customHeight="false" outlineLevel="0" collapsed="false"/>
    <row r="2347" customFormat="false" ht="15" hidden="false" customHeight="false" outlineLevel="0" collapsed="false"/>
    <row r="2348" customFormat="false" ht="15" hidden="false" customHeight="false" outlineLevel="0" collapsed="false"/>
    <row r="2349" customFormat="false" ht="15" hidden="false" customHeight="false" outlineLevel="0" collapsed="false"/>
    <row r="2350" customFormat="false" ht="15" hidden="false" customHeight="false" outlineLevel="0" collapsed="false"/>
    <row r="2351" customFormat="false" ht="15" hidden="false" customHeight="false" outlineLevel="0" collapsed="false"/>
    <row r="2352" customFormat="false" ht="15" hidden="false" customHeight="false" outlineLevel="0" collapsed="false"/>
    <row r="2353" customFormat="false" ht="15" hidden="false" customHeight="false" outlineLevel="0" collapsed="false"/>
    <row r="2354" customFormat="false" ht="15" hidden="false" customHeight="false" outlineLevel="0" collapsed="false"/>
    <row r="2355" customFormat="false" ht="15" hidden="false" customHeight="false" outlineLevel="0" collapsed="false"/>
    <row r="2356" customFormat="false" ht="15" hidden="false" customHeight="false" outlineLevel="0" collapsed="false"/>
    <row r="2357" customFormat="false" ht="15" hidden="false" customHeight="false" outlineLevel="0" collapsed="false"/>
    <row r="2358" customFormat="false" ht="15" hidden="false" customHeight="false" outlineLevel="0" collapsed="false"/>
    <row r="2359" customFormat="false" ht="15" hidden="false" customHeight="false" outlineLevel="0" collapsed="false"/>
    <row r="2360" customFormat="false" ht="15" hidden="false" customHeight="false" outlineLevel="0" collapsed="false"/>
    <row r="2361" customFormat="false" ht="15" hidden="false" customHeight="false" outlineLevel="0" collapsed="false"/>
    <row r="2362" customFormat="false" ht="15" hidden="false" customHeight="false" outlineLevel="0" collapsed="false"/>
    <row r="2363" customFormat="false" ht="15" hidden="false" customHeight="false" outlineLevel="0" collapsed="false"/>
    <row r="2364" customFormat="false" ht="15" hidden="false" customHeight="false" outlineLevel="0" collapsed="false"/>
    <row r="2365" customFormat="false" ht="15" hidden="false" customHeight="false" outlineLevel="0" collapsed="false"/>
    <row r="2366" customFormat="false" ht="15" hidden="false" customHeight="false" outlineLevel="0" collapsed="false"/>
    <row r="2367" customFormat="false" ht="15" hidden="false" customHeight="false" outlineLevel="0" collapsed="false"/>
    <row r="2368" customFormat="false" ht="15" hidden="false" customHeight="false" outlineLevel="0" collapsed="false"/>
    <row r="2369" customFormat="false" ht="15" hidden="false" customHeight="false" outlineLevel="0" collapsed="false"/>
    <row r="2370" customFormat="false" ht="15" hidden="false" customHeight="false" outlineLevel="0" collapsed="false"/>
    <row r="2371" customFormat="false" ht="15" hidden="false" customHeight="false" outlineLevel="0" collapsed="false"/>
    <row r="2372" customFormat="false" ht="15" hidden="false" customHeight="false" outlineLevel="0" collapsed="false"/>
    <row r="2373" customFormat="false" ht="15" hidden="false" customHeight="false" outlineLevel="0" collapsed="false"/>
    <row r="2374" customFormat="false" ht="15" hidden="false" customHeight="false" outlineLevel="0" collapsed="false"/>
    <row r="2375" customFormat="false" ht="15" hidden="false" customHeight="false" outlineLevel="0" collapsed="false"/>
    <row r="2376" customFormat="false" ht="15" hidden="false" customHeight="false" outlineLevel="0" collapsed="false"/>
    <row r="2377" customFormat="false" ht="15" hidden="false" customHeight="false" outlineLevel="0" collapsed="false"/>
    <row r="2378" customFormat="false" ht="15" hidden="false" customHeight="false" outlineLevel="0" collapsed="false"/>
    <row r="2379" customFormat="false" ht="15" hidden="false" customHeight="false" outlineLevel="0" collapsed="false"/>
    <row r="2380" customFormat="false" ht="15" hidden="false" customHeight="false" outlineLevel="0" collapsed="false"/>
    <row r="2381" customFormat="false" ht="15" hidden="false" customHeight="false" outlineLevel="0" collapsed="false"/>
    <row r="2382" customFormat="false" ht="15" hidden="false" customHeight="false" outlineLevel="0" collapsed="false"/>
    <row r="2383" customFormat="false" ht="15" hidden="false" customHeight="false" outlineLevel="0" collapsed="false"/>
    <row r="2384" customFormat="false" ht="15" hidden="false" customHeight="false" outlineLevel="0" collapsed="false"/>
    <row r="2385" customFormat="false" ht="15" hidden="false" customHeight="false" outlineLevel="0" collapsed="false"/>
    <row r="2386" customFormat="false" ht="15" hidden="false" customHeight="false" outlineLevel="0" collapsed="false"/>
    <row r="2387" customFormat="false" ht="15" hidden="false" customHeight="false" outlineLevel="0" collapsed="false"/>
    <row r="2388" customFormat="false" ht="15" hidden="false" customHeight="false" outlineLevel="0" collapsed="false"/>
    <row r="2389" customFormat="false" ht="15" hidden="false" customHeight="false" outlineLevel="0" collapsed="false"/>
    <row r="2390" customFormat="false" ht="15" hidden="false" customHeight="false" outlineLevel="0" collapsed="false"/>
    <row r="2391" customFormat="false" ht="15" hidden="false" customHeight="false" outlineLevel="0" collapsed="false"/>
    <row r="2392" customFormat="false" ht="15" hidden="false" customHeight="false" outlineLevel="0" collapsed="false"/>
    <row r="2393" customFormat="false" ht="15" hidden="false" customHeight="false" outlineLevel="0" collapsed="false"/>
    <row r="2394" customFormat="false" ht="15" hidden="false" customHeight="false" outlineLevel="0" collapsed="false"/>
    <row r="2395" customFormat="false" ht="15" hidden="false" customHeight="false" outlineLevel="0" collapsed="false"/>
    <row r="2396" customFormat="false" ht="15" hidden="false" customHeight="false" outlineLevel="0" collapsed="false"/>
    <row r="2397" customFormat="false" ht="15" hidden="false" customHeight="false" outlineLevel="0" collapsed="false"/>
    <row r="2398" customFormat="false" ht="15" hidden="false" customHeight="false" outlineLevel="0" collapsed="false"/>
    <row r="2399" customFormat="false" ht="15" hidden="false" customHeight="false" outlineLevel="0" collapsed="false"/>
    <row r="2400" customFormat="false" ht="15" hidden="false" customHeight="false" outlineLevel="0" collapsed="false"/>
    <row r="2401" customFormat="false" ht="15" hidden="false" customHeight="false" outlineLevel="0" collapsed="false"/>
    <row r="2402" customFormat="false" ht="15" hidden="false" customHeight="false" outlineLevel="0" collapsed="false"/>
    <row r="2403" customFormat="false" ht="15" hidden="false" customHeight="false" outlineLevel="0" collapsed="false"/>
    <row r="2404" customFormat="false" ht="15" hidden="false" customHeight="false" outlineLevel="0" collapsed="false"/>
    <row r="2405" customFormat="false" ht="15" hidden="false" customHeight="false" outlineLevel="0" collapsed="false"/>
    <row r="2406" customFormat="false" ht="15" hidden="false" customHeight="false" outlineLevel="0" collapsed="false"/>
    <row r="2407" customFormat="false" ht="15" hidden="false" customHeight="false" outlineLevel="0" collapsed="false"/>
    <row r="2408" customFormat="false" ht="15" hidden="false" customHeight="false" outlineLevel="0" collapsed="false"/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/>
    <row r="2412" customFormat="false" ht="15" hidden="false" customHeight="false" outlineLevel="0" collapsed="false"/>
    <row r="2413" customFormat="false" ht="15" hidden="false" customHeight="false" outlineLevel="0" collapsed="false"/>
    <row r="2414" customFormat="false" ht="15" hidden="false" customHeight="false" outlineLevel="0" collapsed="false"/>
    <row r="2415" customFormat="false" ht="15" hidden="false" customHeight="false" outlineLevel="0" collapsed="false"/>
    <row r="2416" customFormat="false" ht="15" hidden="false" customHeight="false" outlineLevel="0" collapsed="false"/>
    <row r="2417" customFormat="false" ht="15" hidden="false" customHeight="false" outlineLevel="0" collapsed="false"/>
    <row r="2418" customFormat="false" ht="15" hidden="false" customHeight="false" outlineLevel="0" collapsed="false"/>
    <row r="2419" customFormat="false" ht="15" hidden="false" customHeight="false" outlineLevel="0" collapsed="false"/>
    <row r="2420" customFormat="false" ht="15" hidden="false" customHeight="false" outlineLevel="0" collapsed="false"/>
    <row r="2421" customFormat="false" ht="15" hidden="false" customHeight="false" outlineLevel="0" collapsed="false"/>
    <row r="2422" customFormat="false" ht="15" hidden="false" customHeight="false" outlineLevel="0" collapsed="false"/>
    <row r="2423" customFormat="false" ht="15" hidden="false" customHeight="false" outlineLevel="0" collapsed="false"/>
    <row r="2424" customFormat="false" ht="15" hidden="false" customHeight="false" outlineLevel="0" collapsed="false"/>
    <row r="2425" customFormat="false" ht="15" hidden="false" customHeight="false" outlineLevel="0" collapsed="false"/>
    <row r="2426" customFormat="false" ht="15" hidden="false" customHeight="false" outlineLevel="0" collapsed="false"/>
    <row r="2427" customFormat="false" ht="15" hidden="false" customHeight="false" outlineLevel="0" collapsed="false"/>
    <row r="2428" customFormat="false" ht="15" hidden="false" customHeight="false" outlineLevel="0" collapsed="false"/>
    <row r="2429" customFormat="false" ht="15" hidden="false" customHeight="false" outlineLevel="0" collapsed="false"/>
    <row r="2430" customFormat="false" ht="15" hidden="false" customHeight="false" outlineLevel="0" collapsed="false"/>
    <row r="2431" customFormat="false" ht="15" hidden="false" customHeight="false" outlineLevel="0" collapsed="false"/>
    <row r="2432" customFormat="false" ht="15" hidden="false" customHeight="false" outlineLevel="0" collapsed="false"/>
    <row r="2433" customFormat="false" ht="15" hidden="false" customHeight="false" outlineLevel="0" collapsed="false"/>
    <row r="2434" customFormat="false" ht="15" hidden="false" customHeight="false" outlineLevel="0" collapsed="false"/>
    <row r="2435" customFormat="false" ht="15" hidden="false" customHeight="false" outlineLevel="0" collapsed="false"/>
    <row r="2436" customFormat="false" ht="15" hidden="false" customHeight="false" outlineLevel="0" collapsed="false"/>
    <row r="2437" customFormat="false" ht="15" hidden="false" customHeight="false" outlineLevel="0" collapsed="false"/>
    <row r="2438" customFormat="false" ht="15" hidden="false" customHeight="false" outlineLevel="0" collapsed="false"/>
    <row r="2439" customFormat="false" ht="15" hidden="false" customHeight="false" outlineLevel="0" collapsed="false"/>
    <row r="2440" customFormat="false" ht="15" hidden="false" customHeight="false" outlineLevel="0" collapsed="false"/>
    <row r="2441" customFormat="false" ht="15" hidden="false" customHeight="false" outlineLevel="0" collapsed="false"/>
    <row r="2442" customFormat="false" ht="15" hidden="false" customHeight="false" outlineLevel="0" collapsed="false"/>
    <row r="2443" customFormat="false" ht="15" hidden="false" customHeight="false" outlineLevel="0" collapsed="false"/>
    <row r="2444" customFormat="false" ht="15" hidden="false" customHeight="false" outlineLevel="0" collapsed="false"/>
    <row r="2445" customFormat="false" ht="15" hidden="false" customHeight="false" outlineLevel="0" collapsed="false"/>
    <row r="2446" customFormat="false" ht="15" hidden="false" customHeight="false" outlineLevel="0" collapsed="false"/>
    <row r="2447" customFormat="false" ht="15" hidden="false" customHeight="false" outlineLevel="0" collapsed="false"/>
    <row r="2448" customFormat="false" ht="15" hidden="false" customHeight="false" outlineLevel="0" collapsed="false"/>
    <row r="2449" customFormat="false" ht="15" hidden="false" customHeight="false" outlineLevel="0" collapsed="false"/>
    <row r="2450" customFormat="false" ht="15" hidden="false" customHeight="false" outlineLevel="0" collapsed="false"/>
    <row r="2451" customFormat="false" ht="15" hidden="false" customHeight="false" outlineLevel="0" collapsed="false"/>
    <row r="2452" customFormat="false" ht="15" hidden="false" customHeight="false" outlineLevel="0" collapsed="false"/>
    <row r="2453" customFormat="false" ht="15" hidden="false" customHeight="false" outlineLevel="0" collapsed="false"/>
    <row r="2454" customFormat="false" ht="15" hidden="false" customHeight="false" outlineLevel="0" collapsed="false"/>
    <row r="2455" customFormat="false" ht="15" hidden="false" customHeight="false" outlineLevel="0" collapsed="false"/>
    <row r="2456" customFormat="false" ht="15" hidden="false" customHeight="false" outlineLevel="0" collapsed="false"/>
    <row r="2457" customFormat="false" ht="15" hidden="false" customHeight="false" outlineLevel="0" collapsed="false"/>
    <row r="2458" customFormat="false" ht="15" hidden="false" customHeight="false" outlineLevel="0" collapsed="false"/>
    <row r="2459" customFormat="false" ht="15" hidden="false" customHeight="false" outlineLevel="0" collapsed="false"/>
    <row r="2460" customFormat="false" ht="15" hidden="false" customHeight="false" outlineLevel="0" collapsed="false"/>
    <row r="2461" customFormat="false" ht="15" hidden="false" customHeight="false" outlineLevel="0" collapsed="false"/>
    <row r="2462" customFormat="false" ht="15" hidden="false" customHeight="false" outlineLevel="0" collapsed="false"/>
    <row r="2463" customFormat="false" ht="15" hidden="false" customHeight="false" outlineLevel="0" collapsed="false"/>
    <row r="2464" customFormat="false" ht="15" hidden="false" customHeight="false" outlineLevel="0" collapsed="false"/>
    <row r="2465" customFormat="false" ht="15" hidden="false" customHeight="false" outlineLevel="0" collapsed="false"/>
    <row r="2466" customFormat="false" ht="15" hidden="false" customHeight="false" outlineLevel="0" collapsed="false"/>
    <row r="2467" customFormat="false" ht="15" hidden="false" customHeight="false" outlineLevel="0" collapsed="false"/>
    <row r="2468" customFormat="false" ht="15" hidden="false" customHeight="false" outlineLevel="0" collapsed="false"/>
    <row r="2469" customFormat="false" ht="15" hidden="false" customHeight="false" outlineLevel="0" collapsed="false"/>
    <row r="2470" customFormat="false" ht="15" hidden="false" customHeight="false" outlineLevel="0" collapsed="false"/>
    <row r="2471" customFormat="false" ht="15" hidden="false" customHeight="false" outlineLevel="0" collapsed="false"/>
    <row r="2472" customFormat="false" ht="15" hidden="false" customHeight="false" outlineLevel="0" collapsed="false"/>
    <row r="2473" customFormat="false" ht="15" hidden="false" customHeight="false" outlineLevel="0" collapsed="false"/>
    <row r="2474" customFormat="false" ht="15" hidden="false" customHeight="false" outlineLevel="0" collapsed="false"/>
    <row r="2475" customFormat="false" ht="15" hidden="false" customHeight="false" outlineLevel="0" collapsed="false"/>
    <row r="2476" customFormat="false" ht="15" hidden="false" customHeight="false" outlineLevel="0" collapsed="false"/>
    <row r="2477" customFormat="false" ht="15" hidden="false" customHeight="false" outlineLevel="0" collapsed="false"/>
    <row r="2478" customFormat="false" ht="15" hidden="false" customHeight="false" outlineLevel="0" collapsed="false"/>
    <row r="2479" customFormat="false" ht="15" hidden="false" customHeight="false" outlineLevel="0" collapsed="false"/>
    <row r="2480" customFormat="false" ht="15" hidden="false" customHeight="false" outlineLevel="0" collapsed="false"/>
    <row r="2481" customFormat="false" ht="15" hidden="false" customHeight="false" outlineLevel="0" collapsed="false"/>
    <row r="2482" customFormat="false" ht="15" hidden="false" customHeight="false" outlineLevel="0" collapsed="false"/>
    <row r="2483" customFormat="false" ht="15" hidden="false" customHeight="false" outlineLevel="0" collapsed="false"/>
    <row r="2484" customFormat="false" ht="15" hidden="false" customHeight="false" outlineLevel="0" collapsed="false"/>
    <row r="2485" customFormat="false" ht="15" hidden="false" customHeight="false" outlineLevel="0" collapsed="false"/>
    <row r="2486" customFormat="false" ht="15" hidden="false" customHeight="false" outlineLevel="0" collapsed="false"/>
    <row r="2487" customFormat="false" ht="15" hidden="false" customHeight="false" outlineLevel="0" collapsed="false"/>
    <row r="2488" customFormat="false" ht="15" hidden="false" customHeight="false" outlineLevel="0" collapsed="false"/>
    <row r="2489" customFormat="false" ht="15" hidden="false" customHeight="false" outlineLevel="0" collapsed="false"/>
    <row r="2490" customFormat="false" ht="15" hidden="false" customHeight="false" outlineLevel="0" collapsed="false"/>
    <row r="2491" customFormat="false" ht="15" hidden="false" customHeight="false" outlineLevel="0" collapsed="false"/>
    <row r="2492" customFormat="false" ht="15" hidden="false" customHeight="false" outlineLevel="0" collapsed="false"/>
    <row r="2493" customFormat="false" ht="15" hidden="false" customHeight="false" outlineLevel="0" collapsed="false"/>
    <row r="2494" customFormat="false" ht="15" hidden="false" customHeight="false" outlineLevel="0" collapsed="false"/>
    <row r="2495" customFormat="false" ht="15" hidden="false" customHeight="false" outlineLevel="0" collapsed="false"/>
    <row r="2496" customFormat="false" ht="15" hidden="false" customHeight="false" outlineLevel="0" collapsed="false"/>
    <row r="2497" customFormat="false" ht="15" hidden="false" customHeight="false" outlineLevel="0" collapsed="false"/>
    <row r="2498" customFormat="false" ht="15" hidden="false" customHeight="false" outlineLevel="0" collapsed="false"/>
    <row r="2499" customFormat="false" ht="15" hidden="false" customHeight="false" outlineLevel="0" collapsed="false"/>
    <row r="2500" customFormat="false" ht="15" hidden="false" customHeight="false" outlineLevel="0" collapsed="false"/>
    <row r="2501" customFormat="false" ht="15" hidden="false" customHeight="false" outlineLevel="0" collapsed="false"/>
    <row r="2502" customFormat="false" ht="15" hidden="false" customHeight="false" outlineLevel="0" collapsed="false"/>
    <row r="2503" customFormat="false" ht="15" hidden="false" customHeight="false" outlineLevel="0" collapsed="false"/>
    <row r="2504" customFormat="false" ht="15" hidden="false" customHeight="false" outlineLevel="0" collapsed="false"/>
    <row r="2505" customFormat="false" ht="15" hidden="false" customHeight="false" outlineLevel="0" collapsed="false"/>
    <row r="2506" customFormat="false" ht="15" hidden="false" customHeight="false" outlineLevel="0" collapsed="false"/>
    <row r="2507" customFormat="false" ht="15" hidden="false" customHeight="false" outlineLevel="0" collapsed="false"/>
    <row r="2508" customFormat="false" ht="15" hidden="false" customHeight="false" outlineLevel="0" collapsed="false"/>
    <row r="2509" customFormat="false" ht="15" hidden="false" customHeight="false" outlineLevel="0" collapsed="false"/>
    <row r="2510" customFormat="false" ht="15" hidden="false" customHeight="false" outlineLevel="0" collapsed="false"/>
    <row r="2511" customFormat="false" ht="15" hidden="false" customHeight="false" outlineLevel="0" collapsed="false"/>
    <row r="2512" customFormat="false" ht="15" hidden="false" customHeight="false" outlineLevel="0" collapsed="false"/>
    <row r="2513" customFormat="false" ht="15" hidden="false" customHeight="false" outlineLevel="0" collapsed="false"/>
    <row r="2514" customFormat="false" ht="15" hidden="false" customHeight="false" outlineLevel="0" collapsed="false"/>
    <row r="2515" customFormat="false" ht="15" hidden="false" customHeight="false" outlineLevel="0" collapsed="false"/>
    <row r="2516" customFormat="false" ht="15" hidden="false" customHeight="false" outlineLevel="0" collapsed="false"/>
    <row r="2517" customFormat="false" ht="15" hidden="false" customHeight="false" outlineLevel="0" collapsed="false"/>
    <row r="2518" customFormat="false" ht="15" hidden="false" customHeight="false" outlineLevel="0" collapsed="false"/>
    <row r="2519" customFormat="false" ht="15" hidden="false" customHeight="false" outlineLevel="0" collapsed="false"/>
    <row r="2520" customFormat="false" ht="15" hidden="false" customHeight="false" outlineLevel="0" collapsed="false"/>
    <row r="2521" customFormat="false" ht="15" hidden="false" customHeight="false" outlineLevel="0" collapsed="false"/>
    <row r="2522" customFormat="false" ht="15" hidden="false" customHeight="false" outlineLevel="0" collapsed="false"/>
    <row r="2523" customFormat="false" ht="15" hidden="false" customHeight="false" outlineLevel="0" collapsed="false"/>
    <row r="2524" customFormat="false" ht="15" hidden="false" customHeight="false" outlineLevel="0" collapsed="false"/>
    <row r="2525" customFormat="false" ht="15" hidden="false" customHeight="false" outlineLevel="0" collapsed="false"/>
    <row r="2526" customFormat="false" ht="15" hidden="false" customHeight="false" outlineLevel="0" collapsed="false"/>
    <row r="2527" customFormat="false" ht="15" hidden="false" customHeight="false" outlineLevel="0" collapsed="false"/>
    <row r="2528" customFormat="false" ht="15" hidden="false" customHeight="false" outlineLevel="0" collapsed="false"/>
    <row r="2529" customFormat="false" ht="15" hidden="false" customHeight="false" outlineLevel="0" collapsed="false"/>
    <row r="2530" customFormat="false" ht="15" hidden="false" customHeight="false" outlineLevel="0" collapsed="false"/>
    <row r="2531" customFormat="false" ht="15" hidden="false" customHeight="false" outlineLevel="0" collapsed="false"/>
    <row r="2532" customFormat="false" ht="15" hidden="false" customHeight="false" outlineLevel="0" collapsed="false"/>
    <row r="2533" customFormat="false" ht="15" hidden="false" customHeight="false" outlineLevel="0" collapsed="false"/>
    <row r="2534" customFormat="false" ht="15" hidden="false" customHeight="false" outlineLevel="0" collapsed="false"/>
    <row r="2535" customFormat="false" ht="15" hidden="false" customHeight="false" outlineLevel="0" collapsed="false"/>
    <row r="2536" customFormat="false" ht="15" hidden="false" customHeight="false" outlineLevel="0" collapsed="false"/>
    <row r="2537" customFormat="false" ht="15" hidden="false" customHeight="false" outlineLevel="0" collapsed="false"/>
    <row r="2538" customFormat="false" ht="15" hidden="false" customHeight="false" outlineLevel="0" collapsed="false"/>
    <row r="2539" customFormat="false" ht="15" hidden="false" customHeight="false" outlineLevel="0" collapsed="false"/>
    <row r="2540" customFormat="false" ht="15" hidden="false" customHeight="false" outlineLevel="0" collapsed="false"/>
    <row r="2541" customFormat="false" ht="15" hidden="false" customHeight="false" outlineLevel="0" collapsed="false"/>
    <row r="2542" customFormat="false" ht="15" hidden="false" customHeight="false" outlineLevel="0" collapsed="false"/>
    <row r="2543" customFormat="false" ht="15" hidden="false" customHeight="false" outlineLevel="0" collapsed="false"/>
    <row r="2544" customFormat="false" ht="15" hidden="false" customHeight="false" outlineLevel="0" collapsed="false"/>
    <row r="2545" customFormat="false" ht="15" hidden="false" customHeight="false" outlineLevel="0" collapsed="false"/>
    <row r="2546" customFormat="false" ht="15" hidden="false" customHeight="false" outlineLevel="0" collapsed="false"/>
    <row r="2547" customFormat="false" ht="15" hidden="false" customHeight="false" outlineLevel="0" collapsed="false"/>
    <row r="2548" customFormat="false" ht="15" hidden="false" customHeight="false" outlineLevel="0" collapsed="false"/>
    <row r="2549" customFormat="false" ht="15" hidden="false" customHeight="false" outlineLevel="0" collapsed="false"/>
    <row r="2550" customFormat="false" ht="15" hidden="false" customHeight="false" outlineLevel="0" collapsed="false"/>
    <row r="2551" customFormat="false" ht="15" hidden="false" customHeight="false" outlineLevel="0" collapsed="false"/>
    <row r="2552" customFormat="false" ht="15" hidden="false" customHeight="false" outlineLevel="0" collapsed="false"/>
    <row r="2553" customFormat="false" ht="15" hidden="false" customHeight="false" outlineLevel="0" collapsed="false"/>
    <row r="2554" customFormat="false" ht="15" hidden="false" customHeight="false" outlineLevel="0" collapsed="false"/>
    <row r="2555" customFormat="false" ht="15" hidden="false" customHeight="false" outlineLevel="0" collapsed="false"/>
    <row r="2556" customFormat="false" ht="15" hidden="false" customHeight="false" outlineLevel="0" collapsed="false"/>
    <row r="2557" customFormat="false" ht="15" hidden="false" customHeight="false" outlineLevel="0" collapsed="false"/>
    <row r="2558" customFormat="false" ht="15" hidden="false" customHeight="false" outlineLevel="0" collapsed="false"/>
    <row r="2559" customFormat="false" ht="15" hidden="false" customHeight="false" outlineLevel="0" collapsed="false"/>
    <row r="2560" customFormat="false" ht="15" hidden="false" customHeight="false" outlineLevel="0" collapsed="false"/>
    <row r="2561" customFormat="false" ht="15" hidden="false" customHeight="false" outlineLevel="0" collapsed="false"/>
    <row r="2562" customFormat="false" ht="15" hidden="false" customHeight="false" outlineLevel="0" collapsed="false"/>
    <row r="2563" customFormat="false" ht="15" hidden="false" customHeight="false" outlineLevel="0" collapsed="false"/>
    <row r="2564" customFormat="false" ht="15" hidden="false" customHeight="false" outlineLevel="0" collapsed="false"/>
    <row r="2565" customFormat="false" ht="15" hidden="false" customHeight="false" outlineLevel="0" collapsed="false"/>
    <row r="2566" customFormat="false" ht="15" hidden="false" customHeight="false" outlineLevel="0" collapsed="false"/>
    <row r="2567" customFormat="false" ht="15" hidden="false" customHeight="false" outlineLevel="0" collapsed="false"/>
    <row r="2568" customFormat="false" ht="15" hidden="false" customHeight="false" outlineLevel="0" collapsed="false"/>
    <row r="2569" customFormat="false" ht="15" hidden="false" customHeight="false" outlineLevel="0" collapsed="false"/>
    <row r="2570" customFormat="false" ht="15" hidden="false" customHeight="false" outlineLevel="0" collapsed="false"/>
    <row r="2571" customFormat="false" ht="15" hidden="false" customHeight="false" outlineLevel="0" collapsed="false"/>
    <row r="2572" customFormat="false" ht="15" hidden="false" customHeight="false" outlineLevel="0" collapsed="false"/>
    <row r="2573" customFormat="false" ht="15" hidden="false" customHeight="false" outlineLevel="0" collapsed="false"/>
    <row r="2574" customFormat="false" ht="15" hidden="false" customHeight="false" outlineLevel="0" collapsed="false"/>
    <row r="2575" customFormat="false" ht="15" hidden="false" customHeight="false" outlineLevel="0" collapsed="false"/>
    <row r="2576" customFormat="false" ht="15" hidden="false" customHeight="false" outlineLevel="0" collapsed="false"/>
    <row r="2577" customFormat="false" ht="15" hidden="false" customHeight="false" outlineLevel="0" collapsed="false"/>
    <row r="2578" customFormat="false" ht="15" hidden="false" customHeight="false" outlineLevel="0" collapsed="false"/>
    <row r="2579" customFormat="false" ht="15" hidden="false" customHeight="false" outlineLevel="0" collapsed="false"/>
    <row r="2580" customFormat="false" ht="15" hidden="false" customHeight="false" outlineLevel="0" collapsed="false"/>
    <row r="2581" customFormat="false" ht="15" hidden="false" customHeight="false" outlineLevel="0" collapsed="false"/>
    <row r="2582" customFormat="false" ht="15" hidden="false" customHeight="false" outlineLevel="0" collapsed="false"/>
    <row r="2583" customFormat="false" ht="15" hidden="false" customHeight="false" outlineLevel="0" collapsed="false"/>
    <row r="2584" customFormat="false" ht="15" hidden="false" customHeight="false" outlineLevel="0" collapsed="false"/>
    <row r="2585" customFormat="false" ht="15" hidden="false" customHeight="false" outlineLevel="0" collapsed="false"/>
    <row r="2586" customFormat="false" ht="15" hidden="false" customHeight="false" outlineLevel="0" collapsed="false"/>
    <row r="2587" customFormat="false" ht="15" hidden="false" customHeight="false" outlineLevel="0" collapsed="false"/>
    <row r="2588" customFormat="false" ht="15" hidden="false" customHeight="false" outlineLevel="0" collapsed="false"/>
    <row r="2589" customFormat="false" ht="15" hidden="false" customHeight="false" outlineLevel="0" collapsed="false"/>
    <row r="2590" customFormat="false" ht="15" hidden="false" customHeight="false" outlineLevel="0" collapsed="false"/>
    <row r="2591" customFormat="false" ht="15" hidden="false" customHeight="false" outlineLevel="0" collapsed="false"/>
    <row r="2592" customFormat="false" ht="15" hidden="false" customHeight="false" outlineLevel="0" collapsed="false"/>
    <row r="2593" customFormat="false" ht="15" hidden="false" customHeight="false" outlineLevel="0" collapsed="false"/>
    <row r="2594" customFormat="false" ht="15" hidden="false" customHeight="false" outlineLevel="0" collapsed="false"/>
    <row r="2595" customFormat="false" ht="15" hidden="false" customHeight="false" outlineLevel="0" collapsed="false"/>
    <row r="2596" customFormat="false" ht="15" hidden="false" customHeight="false" outlineLevel="0" collapsed="false"/>
    <row r="2597" customFormat="false" ht="15" hidden="false" customHeight="false" outlineLevel="0" collapsed="false"/>
    <row r="2598" customFormat="false" ht="15" hidden="false" customHeight="false" outlineLevel="0" collapsed="false"/>
    <row r="2599" customFormat="false" ht="15" hidden="false" customHeight="false" outlineLevel="0" collapsed="false"/>
    <row r="2600" customFormat="false" ht="15" hidden="false" customHeight="false" outlineLevel="0" collapsed="false"/>
    <row r="2601" customFormat="false" ht="15" hidden="false" customHeight="false" outlineLevel="0" collapsed="false"/>
    <row r="2602" customFormat="false" ht="15" hidden="false" customHeight="false" outlineLevel="0" collapsed="false"/>
    <row r="2603" customFormat="false" ht="15" hidden="false" customHeight="false" outlineLevel="0" collapsed="false"/>
    <row r="2604" customFormat="false" ht="15" hidden="false" customHeight="false" outlineLevel="0" collapsed="false"/>
    <row r="2605" customFormat="false" ht="15" hidden="false" customHeight="false" outlineLevel="0" collapsed="false"/>
    <row r="2606" customFormat="false" ht="15" hidden="false" customHeight="false" outlineLevel="0" collapsed="false"/>
    <row r="2607" customFormat="false" ht="15" hidden="false" customHeight="false" outlineLevel="0" collapsed="false"/>
    <row r="2608" customFormat="false" ht="15" hidden="false" customHeight="false" outlineLevel="0" collapsed="false"/>
    <row r="2609" customFormat="false" ht="15" hidden="false" customHeight="false" outlineLevel="0" collapsed="false"/>
    <row r="2610" customFormat="false" ht="15" hidden="false" customHeight="false" outlineLevel="0" collapsed="false"/>
    <row r="2611" customFormat="false" ht="15" hidden="false" customHeight="false" outlineLevel="0" collapsed="false"/>
    <row r="2612" customFormat="false" ht="15" hidden="false" customHeight="false" outlineLevel="0" collapsed="false"/>
    <row r="2613" customFormat="false" ht="15" hidden="false" customHeight="false" outlineLevel="0" collapsed="false"/>
    <row r="2614" customFormat="false" ht="15" hidden="false" customHeight="false" outlineLevel="0" collapsed="false"/>
    <row r="2615" customFormat="false" ht="15" hidden="false" customHeight="false" outlineLevel="0" collapsed="false"/>
    <row r="2616" customFormat="false" ht="15" hidden="false" customHeight="false" outlineLevel="0" collapsed="false"/>
    <row r="2617" customFormat="false" ht="15" hidden="false" customHeight="false" outlineLevel="0" collapsed="false"/>
    <row r="2618" customFormat="false" ht="15" hidden="false" customHeight="false" outlineLevel="0" collapsed="false"/>
    <row r="2619" customFormat="false" ht="15" hidden="false" customHeight="false" outlineLevel="0" collapsed="false"/>
    <row r="2620" customFormat="false" ht="15" hidden="false" customHeight="false" outlineLevel="0" collapsed="false"/>
    <row r="2621" customFormat="false" ht="15" hidden="false" customHeight="false" outlineLevel="0" collapsed="false"/>
    <row r="2622" customFormat="false" ht="15" hidden="false" customHeight="false" outlineLevel="0" collapsed="false"/>
    <row r="2623" customFormat="false" ht="15" hidden="false" customHeight="false" outlineLevel="0" collapsed="false"/>
    <row r="2624" customFormat="false" ht="15" hidden="false" customHeight="false" outlineLevel="0" collapsed="false"/>
    <row r="2625" customFormat="false" ht="15" hidden="false" customHeight="false" outlineLevel="0" collapsed="false"/>
    <row r="2626" customFormat="false" ht="15" hidden="false" customHeight="false" outlineLevel="0" collapsed="false"/>
    <row r="2627" customFormat="false" ht="15" hidden="false" customHeight="false" outlineLevel="0" collapsed="false"/>
    <row r="2628" customFormat="false" ht="15" hidden="false" customHeight="false" outlineLevel="0" collapsed="false"/>
    <row r="2629" customFormat="false" ht="15" hidden="false" customHeight="false" outlineLevel="0" collapsed="false"/>
    <row r="2630" customFormat="false" ht="15" hidden="false" customHeight="false" outlineLevel="0" collapsed="false"/>
    <row r="2631" customFormat="false" ht="15" hidden="false" customHeight="false" outlineLevel="0" collapsed="false"/>
    <row r="2632" customFormat="false" ht="15" hidden="false" customHeight="false" outlineLevel="0" collapsed="false"/>
    <row r="2633" customFormat="false" ht="15" hidden="false" customHeight="false" outlineLevel="0" collapsed="false"/>
    <row r="2634" customFormat="false" ht="15" hidden="false" customHeight="false" outlineLevel="0" collapsed="false"/>
    <row r="2635" customFormat="false" ht="15" hidden="false" customHeight="false" outlineLevel="0" collapsed="false"/>
    <row r="2636" customFormat="false" ht="15" hidden="false" customHeight="false" outlineLevel="0" collapsed="false"/>
    <row r="2637" customFormat="false" ht="15" hidden="false" customHeight="false" outlineLevel="0" collapsed="false"/>
    <row r="2638" customFormat="false" ht="15" hidden="false" customHeight="false" outlineLevel="0" collapsed="false"/>
    <row r="2639" customFormat="false" ht="15" hidden="false" customHeight="false" outlineLevel="0" collapsed="false"/>
    <row r="2640" customFormat="false" ht="15" hidden="false" customHeight="false" outlineLevel="0" collapsed="false"/>
    <row r="2641" customFormat="false" ht="15" hidden="false" customHeight="false" outlineLevel="0" collapsed="false"/>
    <row r="2642" customFormat="false" ht="15" hidden="false" customHeight="false" outlineLevel="0" collapsed="false"/>
    <row r="2643" customFormat="false" ht="15" hidden="false" customHeight="false" outlineLevel="0" collapsed="false"/>
    <row r="2644" customFormat="false" ht="15" hidden="false" customHeight="false" outlineLevel="0" collapsed="false"/>
    <row r="2645" customFormat="false" ht="15" hidden="false" customHeight="false" outlineLevel="0" collapsed="false"/>
    <row r="2646" customFormat="false" ht="15" hidden="false" customHeight="false" outlineLevel="0" collapsed="false"/>
    <row r="2647" customFormat="false" ht="15" hidden="false" customHeight="false" outlineLevel="0" collapsed="false"/>
    <row r="2648" customFormat="false" ht="15" hidden="false" customHeight="false" outlineLevel="0" collapsed="false"/>
    <row r="2649" customFormat="false" ht="15" hidden="false" customHeight="false" outlineLevel="0" collapsed="false"/>
    <row r="2650" customFormat="false" ht="15" hidden="false" customHeight="false" outlineLevel="0" collapsed="false"/>
    <row r="2651" customFormat="false" ht="15" hidden="false" customHeight="false" outlineLevel="0" collapsed="false"/>
    <row r="2652" customFormat="false" ht="15" hidden="false" customHeight="false" outlineLevel="0" collapsed="false"/>
    <row r="2653" customFormat="false" ht="15" hidden="false" customHeight="false" outlineLevel="0" collapsed="false"/>
    <row r="2654" customFormat="false" ht="15" hidden="false" customHeight="false" outlineLevel="0" collapsed="false"/>
    <row r="2655" customFormat="false" ht="15" hidden="false" customHeight="false" outlineLevel="0" collapsed="false"/>
    <row r="2656" customFormat="false" ht="15" hidden="false" customHeight="false" outlineLevel="0" collapsed="false"/>
    <row r="2657" customFormat="false" ht="15" hidden="false" customHeight="false" outlineLevel="0" collapsed="false"/>
    <row r="2658" customFormat="false" ht="15" hidden="false" customHeight="false" outlineLevel="0" collapsed="false"/>
    <row r="2659" customFormat="false" ht="15" hidden="false" customHeight="false" outlineLevel="0" collapsed="false"/>
    <row r="2660" customFormat="false" ht="15" hidden="false" customHeight="false" outlineLevel="0" collapsed="false"/>
    <row r="2661" customFormat="false" ht="15" hidden="false" customHeight="false" outlineLevel="0" collapsed="false"/>
    <row r="2662" customFormat="false" ht="15" hidden="false" customHeight="false" outlineLevel="0" collapsed="false"/>
    <row r="2663" customFormat="false" ht="15" hidden="false" customHeight="false" outlineLevel="0" collapsed="false"/>
    <row r="2664" customFormat="false" ht="15" hidden="false" customHeight="false" outlineLevel="0" collapsed="false"/>
    <row r="2665" customFormat="false" ht="15" hidden="false" customHeight="false" outlineLevel="0" collapsed="false"/>
    <row r="2666" customFormat="false" ht="15" hidden="false" customHeight="false" outlineLevel="0" collapsed="false"/>
    <row r="2667" customFormat="false" ht="15" hidden="false" customHeight="false" outlineLevel="0" collapsed="false"/>
    <row r="2668" customFormat="false" ht="15" hidden="false" customHeight="false" outlineLevel="0" collapsed="false"/>
    <row r="2669" customFormat="false" ht="15" hidden="false" customHeight="false" outlineLevel="0" collapsed="false"/>
    <row r="2670" customFormat="false" ht="15" hidden="false" customHeight="false" outlineLevel="0" collapsed="false"/>
    <row r="2671" customFormat="false" ht="15" hidden="false" customHeight="false" outlineLevel="0" collapsed="false"/>
    <row r="2672" customFormat="false" ht="15" hidden="false" customHeight="false" outlineLevel="0" collapsed="false"/>
    <row r="2673" customFormat="false" ht="15" hidden="false" customHeight="false" outlineLevel="0" collapsed="false"/>
    <row r="2674" customFormat="false" ht="15" hidden="false" customHeight="false" outlineLevel="0" collapsed="false"/>
    <row r="2675" customFormat="false" ht="15" hidden="false" customHeight="false" outlineLevel="0" collapsed="false"/>
    <row r="2676" customFormat="false" ht="15" hidden="false" customHeight="false" outlineLevel="0" collapsed="false"/>
    <row r="2677" customFormat="false" ht="15" hidden="false" customHeight="false" outlineLevel="0" collapsed="false"/>
    <row r="2678" customFormat="false" ht="15" hidden="false" customHeight="false" outlineLevel="0" collapsed="false"/>
    <row r="2679" customFormat="false" ht="15" hidden="false" customHeight="false" outlineLevel="0" collapsed="false"/>
    <row r="2680" customFormat="false" ht="15" hidden="false" customHeight="false" outlineLevel="0" collapsed="false"/>
    <row r="2681" customFormat="false" ht="15" hidden="false" customHeight="false" outlineLevel="0" collapsed="false"/>
    <row r="2682" customFormat="false" ht="15" hidden="false" customHeight="false" outlineLevel="0" collapsed="false"/>
    <row r="2683" customFormat="false" ht="15" hidden="false" customHeight="false" outlineLevel="0" collapsed="false"/>
    <row r="2684" customFormat="false" ht="15" hidden="false" customHeight="false" outlineLevel="0" collapsed="false"/>
    <row r="2685" customFormat="false" ht="15" hidden="false" customHeight="false" outlineLevel="0" collapsed="false"/>
    <row r="2686" customFormat="false" ht="15" hidden="false" customHeight="false" outlineLevel="0" collapsed="false"/>
    <row r="2687" customFormat="false" ht="15" hidden="false" customHeight="false" outlineLevel="0" collapsed="false"/>
    <row r="2688" customFormat="false" ht="15" hidden="false" customHeight="false" outlineLevel="0" collapsed="false"/>
    <row r="2689" customFormat="false" ht="15" hidden="false" customHeight="false" outlineLevel="0" collapsed="false"/>
    <row r="2690" customFormat="false" ht="15" hidden="false" customHeight="false" outlineLevel="0" collapsed="false"/>
    <row r="2691" customFormat="false" ht="15" hidden="false" customHeight="false" outlineLevel="0" collapsed="false"/>
    <row r="2692" customFormat="false" ht="15" hidden="false" customHeight="false" outlineLevel="0" collapsed="false"/>
    <row r="2693" customFormat="false" ht="15" hidden="false" customHeight="false" outlineLevel="0" collapsed="false"/>
    <row r="2694" customFormat="false" ht="15" hidden="false" customHeight="false" outlineLevel="0" collapsed="false"/>
    <row r="2695" customFormat="false" ht="15" hidden="false" customHeight="false" outlineLevel="0" collapsed="false"/>
    <row r="2696" customFormat="false" ht="15" hidden="false" customHeight="false" outlineLevel="0" collapsed="false"/>
    <row r="2697" customFormat="false" ht="15" hidden="false" customHeight="false" outlineLevel="0" collapsed="false"/>
    <row r="2698" customFormat="false" ht="15" hidden="false" customHeight="false" outlineLevel="0" collapsed="false"/>
    <row r="2699" customFormat="false" ht="15" hidden="false" customHeight="false" outlineLevel="0" collapsed="false"/>
    <row r="2700" customFormat="false" ht="15" hidden="false" customHeight="false" outlineLevel="0" collapsed="false"/>
    <row r="2701" customFormat="false" ht="15" hidden="false" customHeight="false" outlineLevel="0" collapsed="false"/>
    <row r="2702" customFormat="false" ht="15" hidden="false" customHeight="false" outlineLevel="0" collapsed="false"/>
    <row r="2703" customFormat="false" ht="15" hidden="false" customHeight="false" outlineLevel="0" collapsed="false"/>
    <row r="2704" customFormat="false" ht="15" hidden="false" customHeight="false" outlineLevel="0" collapsed="false"/>
    <row r="2705" customFormat="false" ht="15" hidden="false" customHeight="false" outlineLevel="0" collapsed="false"/>
    <row r="2706" customFormat="false" ht="15" hidden="false" customHeight="false" outlineLevel="0" collapsed="false"/>
    <row r="2707" customFormat="false" ht="15" hidden="false" customHeight="false" outlineLevel="0" collapsed="false"/>
    <row r="2708" customFormat="false" ht="15" hidden="false" customHeight="false" outlineLevel="0" collapsed="false"/>
    <row r="2709" customFormat="false" ht="15" hidden="false" customHeight="false" outlineLevel="0" collapsed="false"/>
    <row r="2710" customFormat="false" ht="15" hidden="false" customHeight="false" outlineLevel="0" collapsed="false"/>
    <row r="2711" customFormat="false" ht="15" hidden="false" customHeight="false" outlineLevel="0" collapsed="false"/>
    <row r="2712" customFormat="false" ht="15" hidden="false" customHeight="false" outlineLevel="0" collapsed="false"/>
    <row r="2713" customFormat="false" ht="15" hidden="false" customHeight="false" outlineLevel="0" collapsed="false"/>
    <row r="2714" customFormat="false" ht="15" hidden="false" customHeight="false" outlineLevel="0" collapsed="false"/>
    <row r="2715" customFormat="false" ht="15" hidden="false" customHeight="false" outlineLevel="0" collapsed="false"/>
    <row r="2716" customFormat="false" ht="15" hidden="false" customHeight="false" outlineLevel="0" collapsed="false"/>
    <row r="2717" customFormat="false" ht="15" hidden="false" customHeight="false" outlineLevel="0" collapsed="false"/>
    <row r="2718" customFormat="false" ht="15" hidden="false" customHeight="false" outlineLevel="0" collapsed="false"/>
    <row r="2719" customFormat="false" ht="15" hidden="false" customHeight="false" outlineLevel="0" collapsed="false"/>
    <row r="2720" customFormat="false" ht="15" hidden="false" customHeight="false" outlineLevel="0" collapsed="false"/>
    <row r="2721" customFormat="false" ht="15" hidden="false" customHeight="false" outlineLevel="0" collapsed="false"/>
    <row r="2722" customFormat="false" ht="15" hidden="false" customHeight="false" outlineLevel="0" collapsed="false"/>
    <row r="2723" customFormat="false" ht="15" hidden="false" customHeight="false" outlineLevel="0" collapsed="false"/>
    <row r="2724" customFormat="false" ht="15" hidden="false" customHeight="false" outlineLevel="0" collapsed="false"/>
    <row r="2725" customFormat="false" ht="15" hidden="false" customHeight="false" outlineLevel="0" collapsed="false"/>
    <row r="2726" customFormat="false" ht="15" hidden="false" customHeight="false" outlineLevel="0" collapsed="false"/>
    <row r="2727" customFormat="false" ht="15" hidden="false" customHeight="false" outlineLevel="0" collapsed="false"/>
    <row r="2728" customFormat="false" ht="15" hidden="false" customHeight="false" outlineLevel="0" collapsed="false"/>
    <row r="2729" customFormat="false" ht="15" hidden="false" customHeight="false" outlineLevel="0" collapsed="false"/>
    <row r="2730" customFormat="false" ht="15" hidden="false" customHeight="false" outlineLevel="0" collapsed="false"/>
    <row r="2731" customFormat="false" ht="15" hidden="false" customHeight="false" outlineLevel="0" collapsed="false"/>
    <row r="2732" customFormat="false" ht="15" hidden="false" customHeight="false" outlineLevel="0" collapsed="false"/>
    <row r="2733" customFormat="false" ht="15" hidden="false" customHeight="false" outlineLevel="0" collapsed="false"/>
    <row r="2734" customFormat="false" ht="15" hidden="false" customHeight="false" outlineLevel="0" collapsed="false"/>
    <row r="2735" customFormat="false" ht="15" hidden="false" customHeight="false" outlineLevel="0" collapsed="false"/>
    <row r="2736" customFormat="false" ht="15" hidden="false" customHeight="false" outlineLevel="0" collapsed="false"/>
    <row r="2737" customFormat="false" ht="15" hidden="false" customHeight="false" outlineLevel="0" collapsed="false"/>
    <row r="2738" customFormat="false" ht="15" hidden="false" customHeight="false" outlineLevel="0" collapsed="false"/>
    <row r="2739" customFormat="false" ht="15" hidden="false" customHeight="false" outlineLevel="0" collapsed="false"/>
    <row r="2740" customFormat="false" ht="15" hidden="false" customHeight="false" outlineLevel="0" collapsed="false"/>
    <row r="2741" customFormat="false" ht="15" hidden="false" customHeight="false" outlineLevel="0" collapsed="false"/>
    <row r="2742" customFormat="false" ht="15" hidden="false" customHeight="false" outlineLevel="0" collapsed="false"/>
    <row r="2743" customFormat="false" ht="15" hidden="false" customHeight="false" outlineLevel="0" collapsed="false"/>
    <row r="2744" customFormat="false" ht="15" hidden="false" customHeight="false" outlineLevel="0" collapsed="false"/>
    <row r="2745" customFormat="false" ht="15" hidden="false" customHeight="false" outlineLevel="0" collapsed="false"/>
    <row r="2746" customFormat="false" ht="15" hidden="false" customHeight="false" outlineLevel="0" collapsed="false"/>
    <row r="2747" customFormat="false" ht="15" hidden="false" customHeight="false" outlineLevel="0" collapsed="false"/>
    <row r="2748" customFormat="false" ht="15" hidden="false" customHeight="false" outlineLevel="0" collapsed="false"/>
    <row r="2749" customFormat="false" ht="15" hidden="false" customHeight="false" outlineLevel="0" collapsed="false"/>
    <row r="2750" customFormat="false" ht="15" hidden="false" customHeight="false" outlineLevel="0" collapsed="false"/>
    <row r="2751" customFormat="false" ht="15" hidden="false" customHeight="false" outlineLevel="0" collapsed="false"/>
    <row r="2752" customFormat="false" ht="15" hidden="false" customHeight="false" outlineLevel="0" collapsed="false"/>
    <row r="2753" customFormat="false" ht="15" hidden="false" customHeight="false" outlineLevel="0" collapsed="false"/>
    <row r="2754" customFormat="false" ht="15" hidden="false" customHeight="false" outlineLevel="0" collapsed="false"/>
    <row r="2755" customFormat="false" ht="15" hidden="false" customHeight="false" outlineLevel="0" collapsed="false"/>
    <row r="2756" customFormat="false" ht="15" hidden="false" customHeight="false" outlineLevel="0" collapsed="false"/>
    <row r="2757" customFormat="false" ht="15" hidden="false" customHeight="false" outlineLevel="0" collapsed="false"/>
    <row r="2758" customFormat="false" ht="15" hidden="false" customHeight="false" outlineLevel="0" collapsed="false"/>
    <row r="2759" customFormat="false" ht="15" hidden="false" customHeight="false" outlineLevel="0" collapsed="false"/>
    <row r="2760" customFormat="false" ht="15" hidden="false" customHeight="false" outlineLevel="0" collapsed="false"/>
    <row r="2761" customFormat="false" ht="15" hidden="false" customHeight="false" outlineLevel="0" collapsed="false"/>
    <row r="2762" customFormat="false" ht="15" hidden="false" customHeight="false" outlineLevel="0" collapsed="false"/>
    <row r="2763" customFormat="false" ht="15" hidden="false" customHeight="false" outlineLevel="0" collapsed="false"/>
    <row r="2764" customFormat="false" ht="15" hidden="false" customHeight="false" outlineLevel="0" collapsed="false"/>
    <row r="2765" customFormat="false" ht="15" hidden="false" customHeight="false" outlineLevel="0" collapsed="false"/>
    <row r="2766" customFormat="false" ht="15" hidden="false" customHeight="false" outlineLevel="0" collapsed="false"/>
    <row r="2767" customFormat="false" ht="15" hidden="false" customHeight="false" outlineLevel="0" collapsed="false"/>
    <row r="2768" customFormat="false" ht="15" hidden="false" customHeight="false" outlineLevel="0" collapsed="false"/>
    <row r="2769" customFormat="false" ht="15" hidden="false" customHeight="false" outlineLevel="0" collapsed="false"/>
    <row r="2770" customFormat="false" ht="15" hidden="false" customHeight="false" outlineLevel="0" collapsed="false"/>
    <row r="2771" customFormat="false" ht="15" hidden="false" customHeight="false" outlineLevel="0" collapsed="false"/>
    <row r="2772" customFormat="false" ht="15" hidden="false" customHeight="false" outlineLevel="0" collapsed="false"/>
    <row r="2773" customFormat="false" ht="15" hidden="false" customHeight="false" outlineLevel="0" collapsed="false"/>
    <row r="2774" customFormat="false" ht="15" hidden="false" customHeight="false" outlineLevel="0" collapsed="false"/>
    <row r="2775" customFormat="false" ht="15" hidden="false" customHeight="false" outlineLevel="0" collapsed="false"/>
    <row r="2776" customFormat="false" ht="15" hidden="false" customHeight="false" outlineLevel="0" collapsed="false"/>
    <row r="2777" customFormat="false" ht="15" hidden="false" customHeight="false" outlineLevel="0" collapsed="false"/>
    <row r="2778" customFormat="false" ht="15" hidden="false" customHeight="false" outlineLevel="0" collapsed="false"/>
    <row r="2779" customFormat="false" ht="15" hidden="false" customHeight="false" outlineLevel="0" collapsed="false"/>
    <row r="2780" customFormat="false" ht="15" hidden="false" customHeight="false" outlineLevel="0" collapsed="false"/>
    <row r="2781" customFormat="false" ht="15" hidden="false" customHeight="false" outlineLevel="0" collapsed="false"/>
    <row r="2782" customFormat="false" ht="15" hidden="false" customHeight="false" outlineLevel="0" collapsed="false"/>
    <row r="2783" customFormat="false" ht="15" hidden="false" customHeight="false" outlineLevel="0" collapsed="false"/>
    <row r="2784" customFormat="false" ht="15" hidden="false" customHeight="false" outlineLevel="0" collapsed="false"/>
    <row r="2785" customFormat="false" ht="15" hidden="false" customHeight="false" outlineLevel="0" collapsed="false"/>
    <row r="2786" customFormat="false" ht="15" hidden="false" customHeight="false" outlineLevel="0" collapsed="false"/>
    <row r="2787" customFormat="false" ht="15" hidden="false" customHeight="false" outlineLevel="0" collapsed="false"/>
    <row r="2788" customFormat="false" ht="15" hidden="false" customHeight="false" outlineLevel="0" collapsed="false"/>
    <row r="2789" customFormat="false" ht="15" hidden="false" customHeight="false" outlineLevel="0" collapsed="false"/>
    <row r="2790" customFormat="false" ht="15" hidden="false" customHeight="false" outlineLevel="0" collapsed="false"/>
    <row r="2791" customFormat="false" ht="15" hidden="false" customHeight="false" outlineLevel="0" collapsed="false"/>
    <row r="2792" customFormat="false" ht="15" hidden="false" customHeight="false" outlineLevel="0" collapsed="false"/>
    <row r="2793" customFormat="false" ht="15" hidden="false" customHeight="false" outlineLevel="0" collapsed="false"/>
    <row r="2794" customFormat="false" ht="15" hidden="false" customHeight="false" outlineLevel="0" collapsed="false"/>
    <row r="2795" customFormat="false" ht="15" hidden="false" customHeight="false" outlineLevel="0" collapsed="false"/>
    <row r="2796" customFormat="false" ht="15" hidden="false" customHeight="false" outlineLevel="0" collapsed="false"/>
    <row r="2797" customFormat="false" ht="15" hidden="false" customHeight="false" outlineLevel="0" collapsed="false"/>
    <row r="2798" customFormat="false" ht="15" hidden="false" customHeight="false" outlineLevel="0" collapsed="false"/>
    <row r="2799" customFormat="false" ht="15" hidden="false" customHeight="false" outlineLevel="0" collapsed="false"/>
    <row r="2800" customFormat="false" ht="15" hidden="false" customHeight="false" outlineLevel="0" collapsed="false"/>
    <row r="2801" customFormat="false" ht="15" hidden="false" customHeight="false" outlineLevel="0" collapsed="false"/>
    <row r="2802" customFormat="false" ht="15" hidden="false" customHeight="false" outlineLevel="0" collapsed="false"/>
    <row r="2803" customFormat="false" ht="15" hidden="false" customHeight="false" outlineLevel="0" collapsed="false"/>
    <row r="2804" customFormat="false" ht="15" hidden="false" customHeight="false" outlineLevel="0" collapsed="false"/>
    <row r="2805" customFormat="false" ht="15" hidden="false" customHeight="false" outlineLevel="0" collapsed="false"/>
    <row r="2806" customFormat="false" ht="15" hidden="false" customHeight="false" outlineLevel="0" collapsed="false"/>
    <row r="2807" customFormat="false" ht="15" hidden="false" customHeight="false" outlineLevel="0" collapsed="false"/>
    <row r="2808" customFormat="false" ht="15" hidden="false" customHeight="false" outlineLevel="0" collapsed="false"/>
    <row r="2809" customFormat="false" ht="15" hidden="false" customHeight="false" outlineLevel="0" collapsed="false"/>
    <row r="2810" customFormat="false" ht="15" hidden="false" customHeight="false" outlineLevel="0" collapsed="false"/>
    <row r="2811" customFormat="false" ht="15" hidden="false" customHeight="false" outlineLevel="0" collapsed="false"/>
    <row r="2812" customFormat="false" ht="15" hidden="false" customHeight="false" outlineLevel="0" collapsed="false"/>
    <row r="2813" customFormat="false" ht="15" hidden="false" customHeight="false" outlineLevel="0" collapsed="false"/>
    <row r="2814" customFormat="false" ht="15" hidden="false" customHeight="false" outlineLevel="0" collapsed="false"/>
    <row r="2815" customFormat="false" ht="15" hidden="false" customHeight="false" outlineLevel="0" collapsed="false"/>
    <row r="2816" customFormat="false" ht="15" hidden="false" customHeight="false" outlineLevel="0" collapsed="false"/>
    <row r="2817" customFormat="false" ht="15" hidden="false" customHeight="false" outlineLevel="0" collapsed="false"/>
    <row r="2818" customFormat="false" ht="15" hidden="false" customHeight="false" outlineLevel="0" collapsed="false"/>
    <row r="2819" customFormat="false" ht="15" hidden="false" customHeight="false" outlineLevel="0" collapsed="false"/>
    <row r="2820" customFormat="false" ht="15" hidden="false" customHeight="false" outlineLevel="0" collapsed="false"/>
    <row r="2821" customFormat="false" ht="15" hidden="false" customHeight="false" outlineLevel="0" collapsed="false"/>
    <row r="2822" customFormat="false" ht="15" hidden="false" customHeight="false" outlineLevel="0" collapsed="false"/>
    <row r="2823" customFormat="false" ht="15" hidden="false" customHeight="false" outlineLevel="0" collapsed="false"/>
    <row r="2824" customFormat="false" ht="15" hidden="false" customHeight="false" outlineLevel="0" collapsed="false"/>
    <row r="2825" customFormat="false" ht="15" hidden="false" customHeight="false" outlineLevel="0" collapsed="false"/>
    <row r="2826" customFormat="false" ht="15" hidden="false" customHeight="false" outlineLevel="0" collapsed="false"/>
    <row r="2827" customFormat="false" ht="15" hidden="false" customHeight="false" outlineLevel="0" collapsed="false"/>
    <row r="2828" customFormat="false" ht="15" hidden="false" customHeight="false" outlineLevel="0" collapsed="false"/>
    <row r="2829" customFormat="false" ht="15" hidden="false" customHeight="false" outlineLevel="0" collapsed="false"/>
    <row r="2830" customFormat="false" ht="15" hidden="false" customHeight="false" outlineLevel="0" collapsed="false"/>
    <row r="2831" customFormat="false" ht="15" hidden="false" customHeight="false" outlineLevel="0" collapsed="false"/>
    <row r="2832" customFormat="false" ht="15" hidden="false" customHeight="false" outlineLevel="0" collapsed="false"/>
    <row r="2833" customFormat="false" ht="15" hidden="false" customHeight="false" outlineLevel="0" collapsed="false"/>
    <row r="2834" customFormat="false" ht="15" hidden="false" customHeight="false" outlineLevel="0" collapsed="false"/>
    <row r="2835" customFormat="false" ht="15" hidden="false" customHeight="false" outlineLevel="0" collapsed="false"/>
    <row r="2836" customFormat="false" ht="15" hidden="false" customHeight="false" outlineLevel="0" collapsed="false"/>
    <row r="2837" customFormat="false" ht="15" hidden="false" customHeight="false" outlineLevel="0" collapsed="false"/>
    <row r="2838" customFormat="false" ht="15" hidden="false" customHeight="false" outlineLevel="0" collapsed="false"/>
    <row r="2839" customFormat="false" ht="15" hidden="false" customHeight="false" outlineLevel="0" collapsed="false"/>
    <row r="2840" customFormat="false" ht="15" hidden="false" customHeight="false" outlineLevel="0" collapsed="false"/>
    <row r="2841" customFormat="false" ht="15" hidden="false" customHeight="false" outlineLevel="0" collapsed="false"/>
    <row r="2842" customFormat="false" ht="15" hidden="false" customHeight="false" outlineLevel="0" collapsed="false"/>
    <row r="2843" customFormat="false" ht="15" hidden="false" customHeight="false" outlineLevel="0" collapsed="false"/>
    <row r="2844" customFormat="false" ht="15" hidden="false" customHeight="false" outlineLevel="0" collapsed="false"/>
    <row r="2845" customFormat="false" ht="15" hidden="false" customHeight="false" outlineLevel="0" collapsed="false"/>
    <row r="2846" customFormat="false" ht="15" hidden="false" customHeight="false" outlineLevel="0" collapsed="false"/>
    <row r="2847" customFormat="false" ht="15" hidden="false" customHeight="false" outlineLevel="0" collapsed="false"/>
    <row r="2848" customFormat="false" ht="15" hidden="false" customHeight="false" outlineLevel="0" collapsed="false"/>
    <row r="2849" customFormat="false" ht="15" hidden="false" customHeight="false" outlineLevel="0" collapsed="false"/>
    <row r="2850" customFormat="false" ht="15" hidden="false" customHeight="false" outlineLevel="0" collapsed="false"/>
    <row r="2851" customFormat="false" ht="15" hidden="false" customHeight="false" outlineLevel="0" collapsed="false"/>
    <row r="2852" customFormat="false" ht="15" hidden="false" customHeight="false" outlineLevel="0" collapsed="false"/>
    <row r="2853" customFormat="false" ht="15" hidden="false" customHeight="false" outlineLevel="0" collapsed="false"/>
    <row r="2854" customFormat="false" ht="15" hidden="false" customHeight="false" outlineLevel="0" collapsed="false"/>
    <row r="2855" customFormat="false" ht="15" hidden="false" customHeight="false" outlineLevel="0" collapsed="false"/>
    <row r="2856" customFormat="false" ht="15" hidden="false" customHeight="false" outlineLevel="0" collapsed="false"/>
    <row r="2857" customFormat="false" ht="15" hidden="false" customHeight="false" outlineLevel="0" collapsed="false"/>
    <row r="2858" customFormat="false" ht="15" hidden="false" customHeight="false" outlineLevel="0" collapsed="false"/>
    <row r="2859" customFormat="false" ht="15" hidden="false" customHeight="false" outlineLevel="0" collapsed="false"/>
    <row r="2860" customFormat="false" ht="15" hidden="false" customHeight="false" outlineLevel="0" collapsed="false"/>
    <row r="2861" customFormat="false" ht="15" hidden="false" customHeight="false" outlineLevel="0" collapsed="false"/>
    <row r="2862" customFormat="false" ht="15" hidden="false" customHeight="false" outlineLevel="0" collapsed="false"/>
    <row r="2863" customFormat="false" ht="15" hidden="false" customHeight="false" outlineLevel="0" collapsed="false"/>
    <row r="2864" customFormat="false" ht="15" hidden="false" customHeight="false" outlineLevel="0" collapsed="false"/>
    <row r="2865" customFormat="false" ht="15" hidden="false" customHeight="false" outlineLevel="0" collapsed="false"/>
    <row r="2866" customFormat="false" ht="15" hidden="false" customHeight="false" outlineLevel="0" collapsed="false"/>
    <row r="2867" customFormat="false" ht="15" hidden="false" customHeight="false" outlineLevel="0" collapsed="false"/>
    <row r="2868" customFormat="false" ht="15" hidden="false" customHeight="false" outlineLevel="0" collapsed="false"/>
    <row r="2869" customFormat="false" ht="15" hidden="false" customHeight="false" outlineLevel="0" collapsed="false"/>
    <row r="2870" customFormat="false" ht="15" hidden="false" customHeight="false" outlineLevel="0" collapsed="false"/>
    <row r="2871" customFormat="false" ht="15" hidden="false" customHeight="false" outlineLevel="0" collapsed="false"/>
    <row r="2872" customFormat="false" ht="15" hidden="false" customHeight="false" outlineLevel="0" collapsed="false"/>
    <row r="2873" customFormat="false" ht="15" hidden="false" customHeight="false" outlineLevel="0" collapsed="false"/>
    <row r="2874" customFormat="false" ht="15" hidden="false" customHeight="false" outlineLevel="0" collapsed="false"/>
    <row r="2875" customFormat="false" ht="15" hidden="false" customHeight="false" outlineLevel="0" collapsed="false"/>
    <row r="2876" customFormat="false" ht="15" hidden="false" customHeight="false" outlineLevel="0" collapsed="false"/>
    <row r="2877" customFormat="false" ht="15" hidden="false" customHeight="false" outlineLevel="0" collapsed="false"/>
    <row r="2878" customFormat="false" ht="15" hidden="false" customHeight="false" outlineLevel="0" collapsed="false"/>
    <row r="2879" customFormat="false" ht="15" hidden="false" customHeight="false" outlineLevel="0" collapsed="false"/>
    <row r="2880" customFormat="false" ht="15" hidden="false" customHeight="false" outlineLevel="0" collapsed="false"/>
    <row r="2881" customFormat="false" ht="15" hidden="false" customHeight="false" outlineLevel="0" collapsed="false"/>
    <row r="2882" customFormat="false" ht="15" hidden="false" customHeight="false" outlineLevel="0" collapsed="false"/>
    <row r="2883" customFormat="false" ht="15" hidden="false" customHeight="false" outlineLevel="0" collapsed="false"/>
    <row r="2884" customFormat="false" ht="15" hidden="false" customHeight="false" outlineLevel="0" collapsed="false"/>
    <row r="2885" customFormat="false" ht="15" hidden="false" customHeight="false" outlineLevel="0" collapsed="false"/>
    <row r="2886" customFormat="false" ht="15" hidden="false" customHeight="false" outlineLevel="0" collapsed="false"/>
    <row r="2887" customFormat="false" ht="15" hidden="false" customHeight="false" outlineLevel="0" collapsed="false"/>
    <row r="2888" customFormat="false" ht="15" hidden="false" customHeight="false" outlineLevel="0" collapsed="false"/>
    <row r="2889" customFormat="false" ht="15" hidden="false" customHeight="false" outlineLevel="0" collapsed="false"/>
    <row r="2890" customFormat="false" ht="15" hidden="false" customHeight="false" outlineLevel="0" collapsed="false"/>
    <row r="2891" customFormat="false" ht="15" hidden="false" customHeight="false" outlineLevel="0" collapsed="false"/>
    <row r="2892" customFormat="false" ht="15" hidden="false" customHeight="false" outlineLevel="0" collapsed="false"/>
    <row r="2893" customFormat="false" ht="15" hidden="false" customHeight="false" outlineLevel="0" collapsed="false"/>
    <row r="2894" customFormat="false" ht="15" hidden="false" customHeight="false" outlineLevel="0" collapsed="false"/>
    <row r="2895" customFormat="false" ht="15" hidden="false" customHeight="false" outlineLevel="0" collapsed="false"/>
    <row r="2896" customFormat="false" ht="15" hidden="false" customHeight="false" outlineLevel="0" collapsed="false"/>
    <row r="2897" customFormat="false" ht="15" hidden="false" customHeight="false" outlineLevel="0" collapsed="false"/>
    <row r="2898" customFormat="false" ht="15" hidden="false" customHeight="false" outlineLevel="0" collapsed="false"/>
    <row r="2899" customFormat="false" ht="15" hidden="false" customHeight="false" outlineLevel="0" collapsed="false"/>
    <row r="2900" customFormat="false" ht="15" hidden="false" customHeight="false" outlineLevel="0" collapsed="false"/>
    <row r="2901" customFormat="false" ht="15" hidden="false" customHeight="false" outlineLevel="0" collapsed="false"/>
    <row r="2902" customFormat="false" ht="15" hidden="false" customHeight="false" outlineLevel="0" collapsed="false"/>
    <row r="2903" customFormat="false" ht="15" hidden="false" customHeight="false" outlineLevel="0" collapsed="false"/>
    <row r="2904" customFormat="false" ht="15" hidden="false" customHeight="false" outlineLevel="0" collapsed="false"/>
    <row r="2905" customFormat="false" ht="15" hidden="false" customHeight="false" outlineLevel="0" collapsed="false"/>
    <row r="2906" customFormat="false" ht="15" hidden="false" customHeight="false" outlineLevel="0" collapsed="false"/>
    <row r="2907" customFormat="false" ht="15" hidden="false" customHeight="false" outlineLevel="0" collapsed="false"/>
    <row r="2908" customFormat="false" ht="15" hidden="false" customHeight="false" outlineLevel="0" collapsed="false"/>
    <row r="2909" customFormat="false" ht="15" hidden="false" customHeight="false" outlineLevel="0" collapsed="false"/>
    <row r="2910" customFormat="false" ht="15" hidden="false" customHeight="false" outlineLevel="0" collapsed="false"/>
    <row r="2911" customFormat="false" ht="15" hidden="false" customHeight="false" outlineLevel="0" collapsed="false"/>
    <row r="2912" customFormat="false" ht="15" hidden="false" customHeight="false" outlineLevel="0" collapsed="false"/>
    <row r="2913" customFormat="false" ht="15" hidden="false" customHeight="false" outlineLevel="0" collapsed="false"/>
    <row r="2914" customFormat="false" ht="15" hidden="false" customHeight="false" outlineLevel="0" collapsed="false"/>
    <row r="2915" customFormat="false" ht="15" hidden="false" customHeight="false" outlineLevel="0" collapsed="false"/>
    <row r="2916" customFormat="false" ht="15" hidden="false" customHeight="false" outlineLevel="0" collapsed="false"/>
    <row r="2917" customFormat="false" ht="15" hidden="false" customHeight="false" outlineLevel="0" collapsed="false"/>
    <row r="2918" customFormat="false" ht="15" hidden="false" customHeight="false" outlineLevel="0" collapsed="false"/>
    <row r="2919" customFormat="false" ht="15" hidden="false" customHeight="false" outlineLevel="0" collapsed="false"/>
    <row r="2920" customFormat="false" ht="15" hidden="false" customHeight="false" outlineLevel="0" collapsed="false"/>
    <row r="2921" customFormat="false" ht="15" hidden="false" customHeight="false" outlineLevel="0" collapsed="false"/>
    <row r="2922" customFormat="false" ht="15" hidden="false" customHeight="false" outlineLevel="0" collapsed="false"/>
    <row r="2923" customFormat="false" ht="15" hidden="false" customHeight="false" outlineLevel="0" collapsed="false"/>
    <row r="2924" customFormat="false" ht="15" hidden="false" customHeight="false" outlineLevel="0" collapsed="false"/>
    <row r="2925" customFormat="false" ht="15" hidden="false" customHeight="false" outlineLevel="0" collapsed="false"/>
    <row r="2926" customFormat="false" ht="15" hidden="false" customHeight="false" outlineLevel="0" collapsed="false"/>
    <row r="2927" customFormat="false" ht="15" hidden="false" customHeight="false" outlineLevel="0" collapsed="false"/>
    <row r="2928" customFormat="false" ht="15" hidden="false" customHeight="false" outlineLevel="0" collapsed="false"/>
    <row r="2929" customFormat="false" ht="15" hidden="false" customHeight="false" outlineLevel="0" collapsed="false"/>
    <row r="2930" customFormat="false" ht="15" hidden="false" customHeight="false" outlineLevel="0" collapsed="false"/>
    <row r="2931" customFormat="false" ht="15" hidden="false" customHeight="false" outlineLevel="0" collapsed="false"/>
    <row r="2932" customFormat="false" ht="15" hidden="false" customHeight="false" outlineLevel="0" collapsed="false"/>
    <row r="2933" customFormat="false" ht="15" hidden="false" customHeight="false" outlineLevel="0" collapsed="false"/>
    <row r="2934" customFormat="false" ht="15" hidden="false" customHeight="false" outlineLevel="0" collapsed="false"/>
    <row r="2935" customFormat="false" ht="15" hidden="false" customHeight="false" outlineLevel="0" collapsed="false"/>
    <row r="2936" customFormat="false" ht="15" hidden="false" customHeight="false" outlineLevel="0" collapsed="false"/>
    <row r="2937" customFormat="false" ht="15" hidden="false" customHeight="false" outlineLevel="0" collapsed="false"/>
    <row r="2938" customFormat="false" ht="15" hidden="false" customHeight="false" outlineLevel="0" collapsed="false"/>
    <row r="2939" customFormat="false" ht="15" hidden="false" customHeight="false" outlineLevel="0" collapsed="false"/>
    <row r="2940" customFormat="false" ht="15" hidden="false" customHeight="false" outlineLevel="0" collapsed="false"/>
    <row r="2941" customFormat="false" ht="15" hidden="false" customHeight="false" outlineLevel="0" collapsed="false"/>
    <row r="2942" customFormat="false" ht="15" hidden="false" customHeight="false" outlineLevel="0" collapsed="false"/>
    <row r="2943" customFormat="false" ht="15" hidden="false" customHeight="false" outlineLevel="0" collapsed="false"/>
    <row r="2944" customFormat="false" ht="15" hidden="false" customHeight="false" outlineLevel="0" collapsed="false"/>
    <row r="2945" customFormat="false" ht="15" hidden="false" customHeight="false" outlineLevel="0" collapsed="false"/>
    <row r="2946" customFormat="false" ht="15" hidden="false" customHeight="false" outlineLevel="0" collapsed="false"/>
    <row r="2947" customFormat="false" ht="15" hidden="false" customHeight="false" outlineLevel="0" collapsed="false"/>
    <row r="2948" customFormat="false" ht="15" hidden="false" customHeight="false" outlineLevel="0" collapsed="false"/>
    <row r="2949" customFormat="false" ht="15" hidden="false" customHeight="false" outlineLevel="0" collapsed="false"/>
    <row r="2950" customFormat="false" ht="15" hidden="false" customHeight="false" outlineLevel="0" collapsed="false"/>
    <row r="2951" customFormat="false" ht="15" hidden="false" customHeight="false" outlineLevel="0" collapsed="false"/>
    <row r="2952" customFormat="false" ht="15" hidden="false" customHeight="false" outlineLevel="0" collapsed="false"/>
    <row r="2953" customFormat="false" ht="15" hidden="false" customHeight="false" outlineLevel="0" collapsed="false"/>
    <row r="2954" customFormat="false" ht="15" hidden="false" customHeight="false" outlineLevel="0" collapsed="false"/>
    <row r="2955" customFormat="false" ht="15" hidden="false" customHeight="false" outlineLevel="0" collapsed="false"/>
    <row r="2956" customFormat="false" ht="15" hidden="false" customHeight="false" outlineLevel="0" collapsed="false"/>
    <row r="2957" customFormat="false" ht="15" hidden="false" customHeight="false" outlineLevel="0" collapsed="false"/>
    <row r="2958" customFormat="false" ht="15" hidden="false" customHeight="false" outlineLevel="0" collapsed="false"/>
    <row r="2959" customFormat="false" ht="15" hidden="false" customHeight="false" outlineLevel="0" collapsed="false"/>
    <row r="2960" customFormat="false" ht="15" hidden="false" customHeight="false" outlineLevel="0" collapsed="false"/>
    <row r="2961" customFormat="false" ht="15" hidden="false" customHeight="false" outlineLevel="0" collapsed="false"/>
    <row r="2962" customFormat="false" ht="15" hidden="false" customHeight="false" outlineLevel="0" collapsed="false"/>
    <row r="2963" customFormat="false" ht="15" hidden="false" customHeight="false" outlineLevel="0" collapsed="false"/>
    <row r="2964" customFormat="false" ht="15" hidden="false" customHeight="false" outlineLevel="0" collapsed="false"/>
    <row r="2965" customFormat="false" ht="15" hidden="false" customHeight="false" outlineLevel="0" collapsed="false"/>
    <row r="2966" customFormat="false" ht="15" hidden="false" customHeight="false" outlineLevel="0" collapsed="false"/>
    <row r="2967" customFormat="false" ht="15" hidden="false" customHeight="false" outlineLevel="0" collapsed="false"/>
    <row r="2968" customFormat="false" ht="15" hidden="false" customHeight="false" outlineLevel="0" collapsed="false"/>
    <row r="2969" customFormat="false" ht="15" hidden="false" customHeight="false" outlineLevel="0" collapsed="false"/>
    <row r="2970" customFormat="false" ht="15" hidden="false" customHeight="false" outlineLevel="0" collapsed="false"/>
    <row r="2971" customFormat="false" ht="15" hidden="false" customHeight="false" outlineLevel="0" collapsed="false"/>
    <row r="2972" customFormat="false" ht="15" hidden="false" customHeight="false" outlineLevel="0" collapsed="false"/>
    <row r="2973" customFormat="false" ht="15" hidden="false" customHeight="false" outlineLevel="0" collapsed="false"/>
    <row r="2974" customFormat="false" ht="15" hidden="false" customHeight="false" outlineLevel="0" collapsed="false"/>
    <row r="2975" customFormat="false" ht="15" hidden="false" customHeight="false" outlineLevel="0" collapsed="false"/>
    <row r="2976" customFormat="false" ht="15" hidden="false" customHeight="false" outlineLevel="0" collapsed="false"/>
    <row r="2977" customFormat="false" ht="15" hidden="false" customHeight="false" outlineLevel="0" collapsed="false"/>
    <row r="2978" customFormat="false" ht="15" hidden="false" customHeight="false" outlineLevel="0" collapsed="false"/>
    <row r="2979" customFormat="false" ht="15" hidden="false" customHeight="false" outlineLevel="0" collapsed="false"/>
    <row r="2980" customFormat="false" ht="15" hidden="false" customHeight="false" outlineLevel="0" collapsed="false"/>
    <row r="2981" customFormat="false" ht="15" hidden="false" customHeight="false" outlineLevel="0" collapsed="false"/>
    <row r="2982" customFormat="false" ht="15" hidden="false" customHeight="false" outlineLevel="0" collapsed="false"/>
    <row r="2983" customFormat="false" ht="15" hidden="false" customHeight="false" outlineLevel="0" collapsed="false"/>
    <row r="2984" customFormat="false" ht="15" hidden="false" customHeight="false" outlineLevel="0" collapsed="false"/>
    <row r="2985" customFormat="false" ht="15" hidden="false" customHeight="false" outlineLevel="0" collapsed="false"/>
    <row r="2986" customFormat="false" ht="15" hidden="false" customHeight="false" outlineLevel="0" collapsed="false"/>
    <row r="2987" customFormat="false" ht="15" hidden="false" customHeight="false" outlineLevel="0" collapsed="false"/>
    <row r="2988" customFormat="false" ht="15" hidden="false" customHeight="false" outlineLevel="0" collapsed="false"/>
    <row r="2989" customFormat="false" ht="15" hidden="false" customHeight="false" outlineLevel="0" collapsed="false"/>
    <row r="2990" customFormat="false" ht="15" hidden="false" customHeight="false" outlineLevel="0" collapsed="false"/>
    <row r="2991" customFormat="false" ht="15" hidden="false" customHeight="false" outlineLevel="0" collapsed="false"/>
    <row r="2992" customFormat="false" ht="15" hidden="false" customHeight="false" outlineLevel="0" collapsed="false"/>
    <row r="2993" customFormat="false" ht="15" hidden="false" customHeight="false" outlineLevel="0" collapsed="false"/>
    <row r="2994" customFormat="false" ht="15" hidden="false" customHeight="false" outlineLevel="0" collapsed="false"/>
    <row r="2995" customFormat="false" ht="15" hidden="false" customHeight="false" outlineLevel="0" collapsed="false"/>
    <row r="2996" customFormat="false" ht="15" hidden="false" customHeight="false" outlineLevel="0" collapsed="false"/>
    <row r="2997" customFormat="false" ht="15" hidden="false" customHeight="false" outlineLevel="0" collapsed="false"/>
    <row r="2998" customFormat="false" ht="15" hidden="false" customHeight="false" outlineLevel="0" collapsed="false"/>
    <row r="2999" customFormat="false" ht="15" hidden="false" customHeight="false" outlineLevel="0" collapsed="false"/>
    <row r="3000" customFormat="false" ht="15" hidden="false" customHeight="false" outlineLevel="0" collapsed="false"/>
    <row r="3001" customFormat="false" ht="15" hidden="false" customHeight="false" outlineLevel="0" collapsed="false"/>
    <row r="3002" customFormat="false" ht="15" hidden="false" customHeight="false" outlineLevel="0" collapsed="false"/>
    <row r="3003" customFormat="false" ht="15" hidden="false" customHeight="false" outlineLevel="0" collapsed="false"/>
    <row r="3004" customFormat="false" ht="15" hidden="false" customHeight="false" outlineLevel="0" collapsed="false"/>
    <row r="3005" customFormat="false" ht="15" hidden="false" customHeight="false" outlineLevel="0" collapsed="false"/>
    <row r="3006" customFormat="false" ht="15" hidden="false" customHeight="false" outlineLevel="0" collapsed="false"/>
    <row r="3007" customFormat="false" ht="15" hidden="false" customHeight="false" outlineLevel="0" collapsed="false"/>
    <row r="3008" customFormat="false" ht="15" hidden="false" customHeight="false" outlineLevel="0" collapsed="false"/>
    <row r="3009" customFormat="false" ht="15" hidden="false" customHeight="false" outlineLevel="0" collapsed="false"/>
    <row r="3010" customFormat="false" ht="15" hidden="false" customHeight="false" outlineLevel="0" collapsed="false"/>
    <row r="3011" customFormat="false" ht="15" hidden="false" customHeight="false" outlineLevel="0" collapsed="false"/>
    <row r="3012" customFormat="false" ht="15" hidden="false" customHeight="false" outlineLevel="0" collapsed="false"/>
    <row r="3013" customFormat="false" ht="15" hidden="false" customHeight="false" outlineLevel="0" collapsed="false"/>
    <row r="3014" customFormat="false" ht="15" hidden="false" customHeight="false" outlineLevel="0" collapsed="false"/>
    <row r="3015" customFormat="false" ht="15" hidden="false" customHeight="false" outlineLevel="0" collapsed="false"/>
    <row r="3016" customFormat="false" ht="15" hidden="false" customHeight="false" outlineLevel="0" collapsed="false"/>
    <row r="3017" customFormat="false" ht="15" hidden="false" customHeight="false" outlineLevel="0" collapsed="false"/>
    <row r="3018" customFormat="false" ht="15" hidden="false" customHeight="false" outlineLevel="0" collapsed="false"/>
    <row r="3019" customFormat="false" ht="15" hidden="false" customHeight="false" outlineLevel="0" collapsed="false"/>
    <row r="3020" customFormat="false" ht="15" hidden="false" customHeight="false" outlineLevel="0" collapsed="false"/>
    <row r="3021" customFormat="false" ht="15" hidden="false" customHeight="false" outlineLevel="0" collapsed="false"/>
    <row r="3022" customFormat="false" ht="15" hidden="false" customHeight="false" outlineLevel="0" collapsed="false"/>
    <row r="3023" customFormat="false" ht="15" hidden="false" customHeight="false" outlineLevel="0" collapsed="false"/>
    <row r="3024" customFormat="false" ht="15" hidden="false" customHeight="false" outlineLevel="0" collapsed="false"/>
    <row r="3025" customFormat="false" ht="15" hidden="false" customHeight="false" outlineLevel="0" collapsed="false"/>
    <row r="3026" customFormat="false" ht="15" hidden="false" customHeight="false" outlineLevel="0" collapsed="false"/>
    <row r="3027" customFormat="false" ht="15" hidden="false" customHeight="false" outlineLevel="0" collapsed="false"/>
    <row r="3028" customFormat="false" ht="15" hidden="false" customHeight="false" outlineLevel="0" collapsed="false"/>
    <row r="3029" customFormat="false" ht="15" hidden="false" customHeight="false" outlineLevel="0" collapsed="false"/>
    <row r="3030" customFormat="false" ht="15" hidden="false" customHeight="false" outlineLevel="0" collapsed="false"/>
    <row r="3031" customFormat="false" ht="15" hidden="false" customHeight="false" outlineLevel="0" collapsed="false"/>
    <row r="3032" customFormat="false" ht="15" hidden="false" customHeight="false" outlineLevel="0" collapsed="false"/>
    <row r="3033" customFormat="false" ht="15" hidden="false" customHeight="false" outlineLevel="0" collapsed="false"/>
    <row r="3034" customFormat="false" ht="15" hidden="false" customHeight="false" outlineLevel="0" collapsed="false"/>
    <row r="3035" customFormat="false" ht="15" hidden="false" customHeight="false" outlineLevel="0" collapsed="false"/>
    <row r="3036" customFormat="false" ht="15" hidden="false" customHeight="false" outlineLevel="0" collapsed="false"/>
    <row r="3037" customFormat="false" ht="15" hidden="false" customHeight="false" outlineLevel="0" collapsed="false"/>
    <row r="3038" customFormat="false" ht="15" hidden="false" customHeight="false" outlineLevel="0" collapsed="false"/>
    <row r="3039" customFormat="false" ht="15" hidden="false" customHeight="false" outlineLevel="0" collapsed="false"/>
    <row r="3040" customFormat="false" ht="15" hidden="false" customHeight="false" outlineLevel="0" collapsed="false"/>
    <row r="3041" customFormat="false" ht="15" hidden="false" customHeight="false" outlineLevel="0" collapsed="false"/>
    <row r="3042" customFormat="false" ht="15" hidden="false" customHeight="false" outlineLevel="0" collapsed="false"/>
    <row r="3043" customFormat="false" ht="15" hidden="false" customHeight="false" outlineLevel="0" collapsed="false"/>
    <row r="3044" customFormat="false" ht="15" hidden="false" customHeight="false" outlineLevel="0" collapsed="false"/>
    <row r="3045" customFormat="false" ht="15" hidden="false" customHeight="false" outlineLevel="0" collapsed="false"/>
    <row r="3046" customFormat="false" ht="15" hidden="false" customHeight="false" outlineLevel="0" collapsed="false"/>
    <row r="3047" customFormat="false" ht="15" hidden="false" customHeight="false" outlineLevel="0" collapsed="false"/>
    <row r="3048" customFormat="false" ht="15" hidden="false" customHeight="false" outlineLevel="0" collapsed="false"/>
    <row r="3049" customFormat="false" ht="15" hidden="false" customHeight="false" outlineLevel="0" collapsed="false"/>
    <row r="3050" customFormat="false" ht="15" hidden="false" customHeight="false" outlineLevel="0" collapsed="false"/>
    <row r="3051" customFormat="false" ht="15" hidden="false" customHeight="false" outlineLevel="0" collapsed="false"/>
    <row r="3052" customFormat="false" ht="15" hidden="false" customHeight="false" outlineLevel="0" collapsed="false"/>
    <row r="3053" customFormat="false" ht="15" hidden="false" customHeight="false" outlineLevel="0" collapsed="false"/>
    <row r="3054" customFormat="false" ht="15" hidden="false" customHeight="false" outlineLevel="0" collapsed="false"/>
    <row r="3055" customFormat="false" ht="15" hidden="false" customHeight="false" outlineLevel="0" collapsed="false"/>
    <row r="3056" customFormat="false" ht="15" hidden="false" customHeight="false" outlineLevel="0" collapsed="false"/>
    <row r="3057" customFormat="false" ht="15" hidden="false" customHeight="false" outlineLevel="0" collapsed="false"/>
    <row r="3058" customFormat="false" ht="15" hidden="false" customHeight="false" outlineLevel="0" collapsed="false"/>
    <row r="3059" customFormat="false" ht="15" hidden="false" customHeight="false" outlineLevel="0" collapsed="false"/>
    <row r="3060" customFormat="false" ht="15" hidden="false" customHeight="false" outlineLevel="0" collapsed="false"/>
    <row r="3061" customFormat="false" ht="15" hidden="false" customHeight="false" outlineLevel="0" collapsed="false"/>
    <row r="3062" customFormat="false" ht="15" hidden="false" customHeight="false" outlineLevel="0" collapsed="false"/>
    <row r="3063" customFormat="false" ht="15" hidden="false" customHeight="false" outlineLevel="0" collapsed="false"/>
    <row r="3064" customFormat="false" ht="15" hidden="false" customHeight="false" outlineLevel="0" collapsed="false"/>
    <row r="3065" customFormat="false" ht="15" hidden="false" customHeight="false" outlineLevel="0" collapsed="false"/>
    <row r="3066" customFormat="false" ht="15" hidden="false" customHeight="false" outlineLevel="0" collapsed="false"/>
    <row r="3067" customFormat="false" ht="15" hidden="false" customHeight="false" outlineLevel="0" collapsed="false"/>
    <row r="3068" customFormat="false" ht="15" hidden="false" customHeight="false" outlineLevel="0" collapsed="false"/>
    <row r="3069" customFormat="false" ht="15" hidden="false" customHeight="false" outlineLevel="0" collapsed="false"/>
    <row r="3070" customFormat="false" ht="15" hidden="false" customHeight="false" outlineLevel="0" collapsed="false"/>
    <row r="3071" customFormat="false" ht="15" hidden="false" customHeight="false" outlineLevel="0" collapsed="false"/>
    <row r="3072" customFormat="false" ht="15" hidden="false" customHeight="false" outlineLevel="0" collapsed="false"/>
    <row r="3073" customFormat="false" ht="15" hidden="false" customHeight="false" outlineLevel="0" collapsed="false"/>
    <row r="3074" customFormat="false" ht="15" hidden="false" customHeight="false" outlineLevel="0" collapsed="false"/>
    <row r="3075" customFormat="false" ht="15" hidden="false" customHeight="false" outlineLevel="0" collapsed="false"/>
    <row r="3076" customFormat="false" ht="15" hidden="false" customHeight="false" outlineLevel="0" collapsed="false"/>
    <row r="3077" customFormat="false" ht="15" hidden="false" customHeight="false" outlineLevel="0" collapsed="false"/>
    <row r="3078" customFormat="false" ht="15" hidden="false" customHeight="false" outlineLevel="0" collapsed="false"/>
    <row r="3079" customFormat="false" ht="15" hidden="false" customHeight="false" outlineLevel="0" collapsed="false"/>
    <row r="3080" customFormat="false" ht="15" hidden="false" customHeight="false" outlineLevel="0" collapsed="false"/>
    <row r="3081" customFormat="false" ht="15" hidden="false" customHeight="false" outlineLevel="0" collapsed="false"/>
    <row r="3082" customFormat="false" ht="15" hidden="false" customHeight="false" outlineLevel="0" collapsed="false"/>
    <row r="3083" customFormat="false" ht="15" hidden="false" customHeight="false" outlineLevel="0" collapsed="false"/>
    <row r="3084" customFormat="false" ht="15" hidden="false" customHeight="false" outlineLevel="0" collapsed="false"/>
    <row r="3085" customFormat="false" ht="15" hidden="false" customHeight="false" outlineLevel="0" collapsed="false"/>
    <row r="3086" customFormat="false" ht="15" hidden="false" customHeight="false" outlineLevel="0" collapsed="false"/>
    <row r="3087" customFormat="false" ht="15" hidden="false" customHeight="false" outlineLevel="0" collapsed="false"/>
    <row r="3088" customFormat="false" ht="15" hidden="false" customHeight="false" outlineLevel="0" collapsed="false"/>
    <row r="3089" customFormat="false" ht="15" hidden="false" customHeight="false" outlineLevel="0" collapsed="false"/>
    <row r="3090" customFormat="false" ht="15" hidden="false" customHeight="false" outlineLevel="0" collapsed="false"/>
    <row r="3091" customFormat="false" ht="15" hidden="false" customHeight="false" outlineLevel="0" collapsed="false"/>
    <row r="3092" customFormat="false" ht="15" hidden="false" customHeight="false" outlineLevel="0" collapsed="false"/>
    <row r="3093" customFormat="false" ht="15" hidden="false" customHeight="false" outlineLevel="0" collapsed="false"/>
    <row r="3094" customFormat="false" ht="15" hidden="false" customHeight="false" outlineLevel="0" collapsed="false"/>
    <row r="3095" customFormat="false" ht="15" hidden="false" customHeight="false" outlineLevel="0" collapsed="false"/>
    <row r="3096" customFormat="false" ht="15" hidden="false" customHeight="false" outlineLevel="0" collapsed="false"/>
    <row r="3097" customFormat="false" ht="15" hidden="false" customHeight="false" outlineLevel="0" collapsed="false"/>
    <row r="3098" customFormat="false" ht="15" hidden="false" customHeight="false" outlineLevel="0" collapsed="false"/>
    <row r="3099" customFormat="false" ht="15" hidden="false" customHeight="false" outlineLevel="0" collapsed="false"/>
    <row r="3100" customFormat="false" ht="15" hidden="false" customHeight="false" outlineLevel="0" collapsed="false"/>
    <row r="3101" customFormat="false" ht="15" hidden="false" customHeight="false" outlineLevel="0" collapsed="false"/>
    <row r="3102" customFormat="false" ht="15" hidden="false" customHeight="false" outlineLevel="0" collapsed="false"/>
    <row r="3103" customFormat="false" ht="15" hidden="false" customHeight="false" outlineLevel="0" collapsed="false"/>
    <row r="3104" customFormat="false" ht="15" hidden="false" customHeight="false" outlineLevel="0" collapsed="false"/>
    <row r="3105" customFormat="false" ht="15" hidden="false" customHeight="false" outlineLevel="0" collapsed="false"/>
    <row r="3106" customFormat="false" ht="15" hidden="false" customHeight="false" outlineLevel="0" collapsed="false"/>
    <row r="3107" customFormat="false" ht="15" hidden="false" customHeight="false" outlineLevel="0" collapsed="false"/>
    <row r="3108" customFormat="false" ht="15" hidden="false" customHeight="false" outlineLevel="0" collapsed="false"/>
    <row r="3109" customFormat="false" ht="15" hidden="false" customHeight="false" outlineLevel="0" collapsed="false"/>
    <row r="3110" customFormat="false" ht="15" hidden="false" customHeight="false" outlineLevel="0" collapsed="false"/>
    <row r="3111" customFormat="false" ht="15" hidden="false" customHeight="false" outlineLevel="0" collapsed="false"/>
    <row r="3112" customFormat="false" ht="15" hidden="false" customHeight="false" outlineLevel="0" collapsed="false"/>
    <row r="3113" customFormat="false" ht="15" hidden="false" customHeight="false" outlineLevel="0" collapsed="false"/>
    <row r="3114" customFormat="false" ht="15" hidden="false" customHeight="false" outlineLevel="0" collapsed="false"/>
    <row r="3115" customFormat="false" ht="15" hidden="false" customHeight="false" outlineLevel="0" collapsed="false"/>
    <row r="3116" customFormat="false" ht="15" hidden="false" customHeight="false" outlineLevel="0" collapsed="false"/>
    <row r="3117" customFormat="false" ht="15" hidden="false" customHeight="false" outlineLevel="0" collapsed="false"/>
    <row r="3118" customFormat="false" ht="15" hidden="false" customHeight="false" outlineLevel="0" collapsed="false"/>
    <row r="3119" customFormat="false" ht="15" hidden="false" customHeight="false" outlineLevel="0" collapsed="false"/>
    <row r="3120" customFormat="false" ht="15" hidden="false" customHeight="false" outlineLevel="0" collapsed="false"/>
    <row r="3121" customFormat="false" ht="15" hidden="false" customHeight="false" outlineLevel="0" collapsed="false"/>
    <row r="3122" customFormat="false" ht="15" hidden="false" customHeight="false" outlineLevel="0" collapsed="false"/>
    <row r="3123" customFormat="false" ht="15" hidden="false" customHeight="false" outlineLevel="0" collapsed="false"/>
    <row r="3124" customFormat="false" ht="15" hidden="false" customHeight="false" outlineLevel="0" collapsed="false"/>
    <row r="3125" customFormat="false" ht="15" hidden="false" customHeight="false" outlineLevel="0" collapsed="false"/>
    <row r="3126" customFormat="false" ht="15" hidden="false" customHeight="false" outlineLevel="0" collapsed="false"/>
    <row r="3127" customFormat="false" ht="15" hidden="false" customHeight="false" outlineLevel="0" collapsed="false"/>
    <row r="3128" customFormat="false" ht="15" hidden="false" customHeight="false" outlineLevel="0" collapsed="false"/>
    <row r="3129" customFormat="false" ht="15" hidden="false" customHeight="false" outlineLevel="0" collapsed="false"/>
    <row r="3130" customFormat="false" ht="15" hidden="false" customHeight="false" outlineLevel="0" collapsed="false"/>
    <row r="3131" customFormat="false" ht="15" hidden="false" customHeight="false" outlineLevel="0" collapsed="false"/>
    <row r="3132" customFormat="false" ht="15" hidden="false" customHeight="false" outlineLevel="0" collapsed="false"/>
    <row r="3133" customFormat="false" ht="15" hidden="false" customHeight="false" outlineLevel="0" collapsed="false"/>
    <row r="3134" customFormat="false" ht="15" hidden="false" customHeight="false" outlineLevel="0" collapsed="false"/>
    <row r="3135" customFormat="false" ht="15" hidden="false" customHeight="false" outlineLevel="0" collapsed="false"/>
    <row r="3136" customFormat="false" ht="15" hidden="false" customHeight="false" outlineLevel="0" collapsed="false"/>
    <row r="3137" customFormat="false" ht="15" hidden="false" customHeight="false" outlineLevel="0" collapsed="false"/>
    <row r="3138" customFormat="false" ht="15" hidden="false" customHeight="false" outlineLevel="0" collapsed="false"/>
    <row r="3139" customFormat="false" ht="15" hidden="false" customHeight="false" outlineLevel="0" collapsed="false"/>
    <row r="3140" customFormat="false" ht="15" hidden="false" customHeight="false" outlineLevel="0" collapsed="false"/>
    <row r="3141" customFormat="false" ht="15" hidden="false" customHeight="false" outlineLevel="0" collapsed="false"/>
    <row r="3142" customFormat="false" ht="15" hidden="false" customHeight="false" outlineLevel="0" collapsed="false"/>
    <row r="3143" customFormat="false" ht="15" hidden="false" customHeight="false" outlineLevel="0" collapsed="false"/>
    <row r="3144" customFormat="false" ht="15" hidden="false" customHeight="false" outlineLevel="0" collapsed="false"/>
    <row r="3145" customFormat="false" ht="15" hidden="false" customHeight="false" outlineLevel="0" collapsed="false"/>
    <row r="3146" customFormat="false" ht="15" hidden="false" customHeight="false" outlineLevel="0" collapsed="false"/>
    <row r="3147" customFormat="false" ht="15" hidden="false" customHeight="false" outlineLevel="0" collapsed="false"/>
    <row r="3148" customFormat="false" ht="15" hidden="false" customHeight="false" outlineLevel="0" collapsed="false"/>
    <row r="3149" customFormat="false" ht="15" hidden="false" customHeight="false" outlineLevel="0" collapsed="false"/>
    <row r="3150" customFormat="false" ht="15" hidden="false" customHeight="false" outlineLevel="0" collapsed="false"/>
    <row r="3151" customFormat="false" ht="15" hidden="false" customHeight="false" outlineLevel="0" collapsed="false"/>
    <row r="3152" customFormat="false" ht="15" hidden="false" customHeight="false" outlineLevel="0" collapsed="false"/>
    <row r="3153" customFormat="false" ht="15" hidden="false" customHeight="false" outlineLevel="0" collapsed="false"/>
    <row r="3154" customFormat="false" ht="15" hidden="false" customHeight="false" outlineLevel="0" collapsed="false"/>
    <row r="3155" customFormat="false" ht="15" hidden="false" customHeight="false" outlineLevel="0" collapsed="false"/>
    <row r="3156" customFormat="false" ht="15" hidden="false" customHeight="false" outlineLevel="0" collapsed="false"/>
    <row r="3157" customFormat="false" ht="15" hidden="false" customHeight="false" outlineLevel="0" collapsed="false"/>
    <row r="3158" customFormat="false" ht="15" hidden="false" customHeight="false" outlineLevel="0" collapsed="false"/>
    <row r="3159" customFormat="false" ht="15" hidden="false" customHeight="false" outlineLevel="0" collapsed="false"/>
    <row r="3160" customFormat="false" ht="15" hidden="false" customHeight="false" outlineLevel="0" collapsed="false"/>
    <row r="3161" customFormat="false" ht="15" hidden="false" customHeight="false" outlineLevel="0" collapsed="false"/>
    <row r="3162" customFormat="false" ht="15" hidden="false" customHeight="false" outlineLevel="0" collapsed="false"/>
    <row r="3163" customFormat="false" ht="15" hidden="false" customHeight="false" outlineLevel="0" collapsed="false"/>
    <row r="3164" customFormat="false" ht="15" hidden="false" customHeight="false" outlineLevel="0" collapsed="false"/>
    <row r="3165" customFormat="false" ht="15" hidden="false" customHeight="false" outlineLevel="0" collapsed="false"/>
    <row r="3166" customFormat="false" ht="15" hidden="false" customHeight="false" outlineLevel="0" collapsed="false"/>
    <row r="3167" customFormat="false" ht="15" hidden="false" customHeight="false" outlineLevel="0" collapsed="false"/>
    <row r="3168" customFormat="false" ht="15" hidden="false" customHeight="false" outlineLevel="0" collapsed="false"/>
    <row r="3169" customFormat="false" ht="15" hidden="false" customHeight="false" outlineLevel="0" collapsed="false"/>
    <row r="3170" customFormat="false" ht="15" hidden="false" customHeight="false" outlineLevel="0" collapsed="false"/>
    <row r="3171" customFormat="false" ht="15" hidden="false" customHeight="false" outlineLevel="0" collapsed="false"/>
    <row r="3172" customFormat="false" ht="15" hidden="false" customHeight="false" outlineLevel="0" collapsed="false"/>
    <row r="3173" customFormat="false" ht="15" hidden="false" customHeight="false" outlineLevel="0" collapsed="false"/>
    <row r="3174" customFormat="false" ht="15" hidden="false" customHeight="false" outlineLevel="0" collapsed="false"/>
    <row r="3175" customFormat="false" ht="15" hidden="false" customHeight="false" outlineLevel="0" collapsed="false"/>
    <row r="3176" customFormat="false" ht="15" hidden="false" customHeight="false" outlineLevel="0" collapsed="false"/>
    <row r="3177" customFormat="false" ht="15" hidden="false" customHeight="false" outlineLevel="0" collapsed="false"/>
    <row r="3178" customFormat="false" ht="15" hidden="false" customHeight="false" outlineLevel="0" collapsed="false"/>
    <row r="3179" customFormat="false" ht="15" hidden="false" customHeight="false" outlineLevel="0" collapsed="false"/>
    <row r="3180" customFormat="false" ht="15" hidden="false" customHeight="false" outlineLevel="0" collapsed="false"/>
    <row r="3181" customFormat="false" ht="15" hidden="false" customHeight="false" outlineLevel="0" collapsed="false"/>
    <row r="3182" customFormat="false" ht="15" hidden="false" customHeight="false" outlineLevel="0" collapsed="false"/>
    <row r="3183" customFormat="false" ht="15" hidden="false" customHeight="false" outlineLevel="0" collapsed="false"/>
    <row r="3184" customFormat="false" ht="15" hidden="false" customHeight="false" outlineLevel="0" collapsed="false"/>
    <row r="3185" customFormat="false" ht="15" hidden="false" customHeight="false" outlineLevel="0" collapsed="false"/>
    <row r="3186" customFormat="false" ht="15" hidden="false" customHeight="false" outlineLevel="0" collapsed="false"/>
    <row r="3187" customFormat="false" ht="15" hidden="false" customHeight="false" outlineLevel="0" collapsed="false"/>
    <row r="3188" customFormat="false" ht="15" hidden="false" customHeight="false" outlineLevel="0" collapsed="false"/>
    <row r="3189" customFormat="false" ht="15" hidden="false" customHeight="false" outlineLevel="0" collapsed="false"/>
    <row r="3190" customFormat="false" ht="15" hidden="false" customHeight="false" outlineLevel="0" collapsed="false"/>
    <row r="3191" customFormat="false" ht="15" hidden="false" customHeight="false" outlineLevel="0" collapsed="false"/>
    <row r="3192" customFormat="false" ht="15" hidden="false" customHeight="false" outlineLevel="0" collapsed="false"/>
    <row r="3193" customFormat="false" ht="15" hidden="false" customHeight="false" outlineLevel="0" collapsed="false"/>
    <row r="3194" customFormat="false" ht="15" hidden="false" customHeight="false" outlineLevel="0" collapsed="false"/>
    <row r="3195" customFormat="false" ht="15" hidden="false" customHeight="false" outlineLevel="0" collapsed="false"/>
    <row r="3196" customFormat="false" ht="15" hidden="false" customHeight="false" outlineLevel="0" collapsed="false"/>
    <row r="3197" customFormat="false" ht="15" hidden="false" customHeight="false" outlineLevel="0" collapsed="false"/>
    <row r="3198" customFormat="false" ht="15" hidden="false" customHeight="false" outlineLevel="0" collapsed="false"/>
    <row r="3199" customFormat="false" ht="15" hidden="false" customHeight="false" outlineLevel="0" collapsed="false"/>
    <row r="3200" customFormat="false" ht="15" hidden="false" customHeight="false" outlineLevel="0" collapsed="false"/>
    <row r="3201" customFormat="false" ht="15" hidden="false" customHeight="false" outlineLevel="0" collapsed="false"/>
    <row r="3202" customFormat="false" ht="15" hidden="false" customHeight="false" outlineLevel="0" collapsed="false"/>
    <row r="3203" customFormat="false" ht="15" hidden="false" customHeight="false" outlineLevel="0" collapsed="false"/>
    <row r="3204" customFormat="false" ht="15" hidden="false" customHeight="false" outlineLevel="0" collapsed="false"/>
    <row r="3205" customFormat="false" ht="15" hidden="false" customHeight="false" outlineLevel="0" collapsed="false"/>
    <row r="3206" customFormat="false" ht="15" hidden="false" customHeight="false" outlineLevel="0" collapsed="false"/>
    <row r="3207" customFormat="false" ht="15" hidden="false" customHeight="false" outlineLevel="0" collapsed="false"/>
    <row r="3208" customFormat="false" ht="15" hidden="false" customHeight="false" outlineLevel="0" collapsed="false"/>
    <row r="3209" customFormat="false" ht="15" hidden="false" customHeight="false" outlineLevel="0" collapsed="false"/>
    <row r="3210" customFormat="false" ht="15" hidden="false" customHeight="false" outlineLevel="0" collapsed="false"/>
    <row r="3211" customFormat="false" ht="15" hidden="false" customHeight="false" outlineLevel="0" collapsed="false"/>
    <row r="3212" customFormat="false" ht="15" hidden="false" customHeight="false" outlineLevel="0" collapsed="false"/>
    <row r="3213" customFormat="false" ht="15" hidden="false" customHeight="false" outlineLevel="0" collapsed="false"/>
    <row r="3214" customFormat="false" ht="15" hidden="false" customHeight="false" outlineLevel="0" collapsed="false"/>
    <row r="3215" customFormat="false" ht="15" hidden="false" customHeight="false" outlineLevel="0" collapsed="false"/>
    <row r="3216" customFormat="false" ht="15" hidden="false" customHeight="false" outlineLevel="0" collapsed="false"/>
    <row r="3217" customFormat="false" ht="15" hidden="false" customHeight="false" outlineLevel="0" collapsed="false"/>
    <row r="3218" customFormat="false" ht="15" hidden="false" customHeight="false" outlineLevel="0" collapsed="false"/>
    <row r="3219" customFormat="false" ht="15" hidden="false" customHeight="false" outlineLevel="0" collapsed="false"/>
    <row r="3220" customFormat="false" ht="15" hidden="false" customHeight="false" outlineLevel="0" collapsed="false"/>
    <row r="3221" customFormat="false" ht="15" hidden="false" customHeight="false" outlineLevel="0" collapsed="false"/>
    <row r="3222" customFormat="false" ht="15" hidden="false" customHeight="false" outlineLevel="0" collapsed="false"/>
    <row r="3223" customFormat="false" ht="15" hidden="false" customHeight="false" outlineLevel="0" collapsed="false"/>
    <row r="3224" customFormat="false" ht="15" hidden="false" customHeight="false" outlineLevel="0" collapsed="false"/>
    <row r="3225" customFormat="false" ht="15" hidden="false" customHeight="false" outlineLevel="0" collapsed="false"/>
    <row r="3226" customFormat="false" ht="15" hidden="false" customHeight="false" outlineLevel="0" collapsed="false"/>
    <row r="3227" customFormat="false" ht="15" hidden="false" customHeight="false" outlineLevel="0" collapsed="false"/>
    <row r="3228" customFormat="false" ht="15" hidden="false" customHeight="false" outlineLevel="0" collapsed="false"/>
    <row r="3229" customFormat="false" ht="15" hidden="false" customHeight="false" outlineLevel="0" collapsed="false"/>
    <row r="3230" customFormat="false" ht="15" hidden="false" customHeight="false" outlineLevel="0" collapsed="false"/>
    <row r="3231" customFormat="false" ht="15" hidden="false" customHeight="false" outlineLevel="0" collapsed="false"/>
    <row r="3232" customFormat="false" ht="15" hidden="false" customHeight="false" outlineLevel="0" collapsed="false"/>
    <row r="3233" customFormat="false" ht="15" hidden="false" customHeight="false" outlineLevel="0" collapsed="false"/>
    <row r="3234" customFormat="false" ht="15" hidden="false" customHeight="false" outlineLevel="0" collapsed="false"/>
    <row r="3235" customFormat="false" ht="15" hidden="false" customHeight="false" outlineLevel="0" collapsed="false"/>
    <row r="3236" customFormat="false" ht="15" hidden="false" customHeight="false" outlineLevel="0" collapsed="false"/>
    <row r="3237" customFormat="false" ht="15" hidden="false" customHeight="false" outlineLevel="0" collapsed="false"/>
    <row r="3238" customFormat="false" ht="15" hidden="false" customHeight="false" outlineLevel="0" collapsed="false"/>
    <row r="3239" customFormat="false" ht="15" hidden="false" customHeight="false" outlineLevel="0" collapsed="false"/>
    <row r="3240" customFormat="false" ht="15" hidden="false" customHeight="false" outlineLevel="0" collapsed="false"/>
    <row r="3241" customFormat="false" ht="15" hidden="false" customHeight="false" outlineLevel="0" collapsed="false"/>
    <row r="3242" customFormat="false" ht="15" hidden="false" customHeight="false" outlineLevel="0" collapsed="false"/>
    <row r="3243" customFormat="false" ht="15" hidden="false" customHeight="false" outlineLevel="0" collapsed="false"/>
    <row r="3244" customFormat="false" ht="15" hidden="false" customHeight="false" outlineLevel="0" collapsed="false"/>
    <row r="3245" customFormat="false" ht="15" hidden="false" customHeight="false" outlineLevel="0" collapsed="false"/>
    <row r="3246" customFormat="false" ht="15" hidden="false" customHeight="false" outlineLevel="0" collapsed="false"/>
    <row r="3247" customFormat="false" ht="15" hidden="false" customHeight="false" outlineLevel="0" collapsed="false"/>
    <row r="3248" customFormat="false" ht="15" hidden="false" customHeight="false" outlineLevel="0" collapsed="false"/>
    <row r="3249" customFormat="false" ht="15" hidden="false" customHeight="false" outlineLevel="0" collapsed="false"/>
    <row r="3250" customFormat="false" ht="15" hidden="false" customHeight="false" outlineLevel="0" collapsed="false"/>
    <row r="3251" customFormat="false" ht="15" hidden="false" customHeight="false" outlineLevel="0" collapsed="false"/>
    <row r="3252" customFormat="false" ht="15" hidden="false" customHeight="false" outlineLevel="0" collapsed="false"/>
    <row r="3253" customFormat="false" ht="15" hidden="false" customHeight="false" outlineLevel="0" collapsed="false"/>
    <row r="3254" customFormat="false" ht="15" hidden="false" customHeight="false" outlineLevel="0" collapsed="false"/>
    <row r="3255" customFormat="false" ht="15" hidden="false" customHeight="false" outlineLevel="0" collapsed="false"/>
    <row r="3256" customFormat="false" ht="15" hidden="false" customHeight="false" outlineLevel="0" collapsed="false"/>
    <row r="3257" customFormat="false" ht="15" hidden="false" customHeight="false" outlineLevel="0" collapsed="false"/>
    <row r="3258" customFormat="false" ht="15" hidden="false" customHeight="false" outlineLevel="0" collapsed="false"/>
    <row r="3259" customFormat="false" ht="15" hidden="false" customHeight="false" outlineLevel="0" collapsed="false"/>
    <row r="3260" customFormat="false" ht="15" hidden="false" customHeight="false" outlineLevel="0" collapsed="false"/>
    <row r="3261" customFormat="false" ht="15" hidden="false" customHeight="false" outlineLevel="0" collapsed="false"/>
    <row r="3262" customFormat="false" ht="15" hidden="false" customHeight="false" outlineLevel="0" collapsed="false"/>
    <row r="3263" customFormat="false" ht="15" hidden="false" customHeight="false" outlineLevel="0" collapsed="false"/>
    <row r="3264" customFormat="false" ht="15" hidden="false" customHeight="false" outlineLevel="0" collapsed="false"/>
    <row r="3265" customFormat="false" ht="15" hidden="false" customHeight="false" outlineLevel="0" collapsed="false"/>
    <row r="3266" customFormat="false" ht="15" hidden="false" customHeight="false" outlineLevel="0" collapsed="false"/>
    <row r="3267" customFormat="false" ht="15" hidden="false" customHeight="false" outlineLevel="0" collapsed="false"/>
    <row r="3268" customFormat="false" ht="15" hidden="false" customHeight="false" outlineLevel="0" collapsed="false"/>
    <row r="3269" customFormat="false" ht="15" hidden="false" customHeight="false" outlineLevel="0" collapsed="false"/>
    <row r="3270" customFormat="false" ht="15" hidden="false" customHeight="false" outlineLevel="0" collapsed="false"/>
    <row r="3271" customFormat="false" ht="15" hidden="false" customHeight="false" outlineLevel="0" collapsed="false"/>
    <row r="3272" customFormat="false" ht="15" hidden="false" customHeight="false" outlineLevel="0" collapsed="false"/>
    <row r="3273" customFormat="false" ht="15" hidden="false" customHeight="false" outlineLevel="0" collapsed="false"/>
    <row r="3274" customFormat="false" ht="15" hidden="false" customHeight="false" outlineLevel="0" collapsed="false"/>
    <row r="3275" customFormat="false" ht="15" hidden="false" customHeight="false" outlineLevel="0" collapsed="false"/>
    <row r="3276" customFormat="false" ht="15" hidden="false" customHeight="false" outlineLevel="0" collapsed="false"/>
    <row r="3277" customFormat="false" ht="15" hidden="false" customHeight="false" outlineLevel="0" collapsed="false"/>
    <row r="3278" customFormat="false" ht="15" hidden="false" customHeight="false" outlineLevel="0" collapsed="false"/>
    <row r="3279" customFormat="false" ht="15" hidden="false" customHeight="false" outlineLevel="0" collapsed="false"/>
    <row r="3280" customFormat="false" ht="15" hidden="false" customHeight="false" outlineLevel="0" collapsed="false"/>
    <row r="3281" customFormat="false" ht="15" hidden="false" customHeight="false" outlineLevel="0" collapsed="false"/>
    <row r="3282" customFormat="false" ht="15" hidden="false" customHeight="false" outlineLevel="0" collapsed="false"/>
    <row r="3283" customFormat="false" ht="15" hidden="false" customHeight="false" outlineLevel="0" collapsed="false"/>
    <row r="3284" customFormat="false" ht="15" hidden="false" customHeight="false" outlineLevel="0" collapsed="false"/>
    <row r="3285" customFormat="false" ht="15" hidden="false" customHeight="false" outlineLevel="0" collapsed="false"/>
    <row r="3286" customFormat="false" ht="15" hidden="false" customHeight="false" outlineLevel="0" collapsed="false"/>
    <row r="3287" customFormat="false" ht="15" hidden="false" customHeight="false" outlineLevel="0" collapsed="false"/>
    <row r="3288" customFormat="false" ht="15" hidden="false" customHeight="false" outlineLevel="0" collapsed="false"/>
    <row r="3289" customFormat="false" ht="15" hidden="false" customHeight="false" outlineLevel="0" collapsed="false"/>
    <row r="3290" customFormat="false" ht="15" hidden="false" customHeight="false" outlineLevel="0" collapsed="false"/>
    <row r="3291" customFormat="false" ht="15" hidden="false" customHeight="false" outlineLevel="0" collapsed="false"/>
    <row r="3292" customFormat="false" ht="15" hidden="false" customHeight="false" outlineLevel="0" collapsed="false"/>
    <row r="3293" customFormat="false" ht="15" hidden="false" customHeight="false" outlineLevel="0" collapsed="false"/>
    <row r="3294" customFormat="false" ht="15" hidden="false" customHeight="false" outlineLevel="0" collapsed="false"/>
    <row r="3295" customFormat="false" ht="15" hidden="false" customHeight="false" outlineLevel="0" collapsed="false"/>
    <row r="3296" customFormat="false" ht="15" hidden="false" customHeight="false" outlineLevel="0" collapsed="false"/>
    <row r="3297" customFormat="false" ht="15" hidden="false" customHeight="false" outlineLevel="0" collapsed="false"/>
    <row r="3298" customFormat="false" ht="15" hidden="false" customHeight="false" outlineLevel="0" collapsed="false"/>
    <row r="3299" customFormat="false" ht="15" hidden="false" customHeight="false" outlineLevel="0" collapsed="false"/>
    <row r="3300" customFormat="false" ht="15" hidden="false" customHeight="false" outlineLevel="0" collapsed="false"/>
    <row r="3301" customFormat="false" ht="15" hidden="false" customHeight="false" outlineLevel="0" collapsed="false"/>
    <row r="3302" customFormat="false" ht="15" hidden="false" customHeight="false" outlineLevel="0" collapsed="false"/>
    <row r="3303" customFormat="false" ht="15" hidden="false" customHeight="false" outlineLevel="0" collapsed="false"/>
    <row r="3304" customFormat="false" ht="15" hidden="false" customHeight="false" outlineLevel="0" collapsed="false"/>
    <row r="3305" customFormat="false" ht="15" hidden="false" customHeight="false" outlineLevel="0" collapsed="false"/>
    <row r="3306" customFormat="false" ht="15" hidden="false" customHeight="false" outlineLevel="0" collapsed="false"/>
    <row r="3307" customFormat="false" ht="15" hidden="false" customHeight="false" outlineLevel="0" collapsed="false"/>
    <row r="3308" customFormat="false" ht="15" hidden="false" customHeight="false" outlineLevel="0" collapsed="false"/>
    <row r="3309" customFormat="false" ht="15" hidden="false" customHeight="false" outlineLevel="0" collapsed="false"/>
    <row r="3310" customFormat="false" ht="15" hidden="false" customHeight="false" outlineLevel="0" collapsed="false"/>
    <row r="3311" customFormat="false" ht="15" hidden="false" customHeight="false" outlineLevel="0" collapsed="false"/>
    <row r="3312" customFormat="false" ht="15" hidden="false" customHeight="false" outlineLevel="0" collapsed="false"/>
    <row r="3313" customFormat="false" ht="15" hidden="false" customHeight="false" outlineLevel="0" collapsed="false"/>
    <row r="3314" customFormat="false" ht="15" hidden="false" customHeight="false" outlineLevel="0" collapsed="false"/>
    <row r="3315" customFormat="false" ht="15" hidden="false" customHeight="false" outlineLevel="0" collapsed="false"/>
    <row r="3316" customFormat="false" ht="15" hidden="false" customHeight="false" outlineLevel="0" collapsed="false"/>
    <row r="3317" customFormat="false" ht="15" hidden="false" customHeight="false" outlineLevel="0" collapsed="false"/>
    <row r="3318" customFormat="false" ht="15" hidden="false" customHeight="false" outlineLevel="0" collapsed="false"/>
    <row r="3319" customFormat="false" ht="15" hidden="false" customHeight="false" outlineLevel="0" collapsed="false"/>
    <row r="3320" customFormat="false" ht="15" hidden="false" customHeight="false" outlineLevel="0" collapsed="false"/>
    <row r="3321" customFormat="false" ht="15" hidden="false" customHeight="false" outlineLevel="0" collapsed="false"/>
    <row r="3322" customFormat="false" ht="15" hidden="false" customHeight="false" outlineLevel="0" collapsed="false"/>
    <row r="3323" customFormat="false" ht="15" hidden="false" customHeight="false" outlineLevel="0" collapsed="false"/>
    <row r="3324" customFormat="false" ht="15" hidden="false" customHeight="false" outlineLevel="0" collapsed="false"/>
    <row r="3325" customFormat="false" ht="15" hidden="false" customHeight="false" outlineLevel="0" collapsed="false"/>
    <row r="3326" customFormat="false" ht="15" hidden="false" customHeight="false" outlineLevel="0" collapsed="false"/>
    <row r="3327" customFormat="false" ht="15" hidden="false" customHeight="false" outlineLevel="0" collapsed="false"/>
    <row r="3328" customFormat="false" ht="15" hidden="false" customHeight="false" outlineLevel="0" collapsed="false"/>
    <row r="3329" customFormat="false" ht="15" hidden="false" customHeight="false" outlineLevel="0" collapsed="false"/>
    <row r="3330" customFormat="false" ht="15" hidden="false" customHeight="false" outlineLevel="0" collapsed="false"/>
    <row r="3331" customFormat="false" ht="15" hidden="false" customHeight="false" outlineLevel="0" collapsed="false"/>
    <row r="3332" customFormat="false" ht="15" hidden="false" customHeight="false" outlineLevel="0" collapsed="false"/>
    <row r="3333" customFormat="false" ht="15" hidden="false" customHeight="false" outlineLevel="0" collapsed="false"/>
    <row r="3334" customFormat="false" ht="15" hidden="false" customHeight="false" outlineLevel="0" collapsed="false"/>
    <row r="3335" customFormat="false" ht="15" hidden="false" customHeight="false" outlineLevel="0" collapsed="false"/>
    <row r="3336" customFormat="false" ht="15" hidden="false" customHeight="false" outlineLevel="0" collapsed="false"/>
    <row r="3337" customFormat="false" ht="15" hidden="false" customHeight="false" outlineLevel="0" collapsed="false"/>
    <row r="3338" customFormat="false" ht="15" hidden="false" customHeight="false" outlineLevel="0" collapsed="false"/>
    <row r="3339" customFormat="false" ht="15" hidden="false" customHeight="false" outlineLevel="0" collapsed="false"/>
    <row r="3340" customFormat="false" ht="15" hidden="false" customHeight="false" outlineLevel="0" collapsed="false"/>
    <row r="3341" customFormat="false" ht="15" hidden="false" customHeight="false" outlineLevel="0" collapsed="false"/>
    <row r="3342" customFormat="false" ht="15" hidden="false" customHeight="false" outlineLevel="0" collapsed="false"/>
    <row r="3343" customFormat="false" ht="15" hidden="false" customHeight="false" outlineLevel="0" collapsed="false"/>
    <row r="3344" customFormat="false" ht="15" hidden="false" customHeight="false" outlineLevel="0" collapsed="false"/>
    <row r="3345" customFormat="false" ht="15" hidden="false" customHeight="false" outlineLevel="0" collapsed="false"/>
    <row r="3346" customFormat="false" ht="15" hidden="false" customHeight="false" outlineLevel="0" collapsed="false"/>
    <row r="3347" customFormat="false" ht="15" hidden="false" customHeight="false" outlineLevel="0" collapsed="false"/>
    <row r="3348" customFormat="false" ht="15" hidden="false" customHeight="false" outlineLevel="0" collapsed="false"/>
    <row r="3349" customFormat="false" ht="15" hidden="false" customHeight="false" outlineLevel="0" collapsed="false"/>
    <row r="3350" customFormat="false" ht="15" hidden="false" customHeight="false" outlineLevel="0" collapsed="false"/>
    <row r="3351" customFormat="false" ht="15" hidden="false" customHeight="false" outlineLevel="0" collapsed="false"/>
    <row r="3352" customFormat="false" ht="15" hidden="false" customHeight="false" outlineLevel="0" collapsed="false"/>
    <row r="3353" customFormat="false" ht="15" hidden="false" customHeight="false" outlineLevel="0" collapsed="false"/>
    <row r="3354" customFormat="false" ht="15" hidden="false" customHeight="false" outlineLevel="0" collapsed="false"/>
    <row r="3355" customFormat="false" ht="15" hidden="false" customHeight="false" outlineLevel="0" collapsed="false"/>
    <row r="3356" customFormat="false" ht="15" hidden="false" customHeight="false" outlineLevel="0" collapsed="false"/>
    <row r="3357" customFormat="false" ht="15" hidden="false" customHeight="false" outlineLevel="0" collapsed="false"/>
    <row r="3358" customFormat="false" ht="15" hidden="false" customHeight="false" outlineLevel="0" collapsed="false"/>
    <row r="3359" customFormat="false" ht="15" hidden="false" customHeight="false" outlineLevel="0" collapsed="false"/>
    <row r="3360" customFormat="false" ht="15" hidden="false" customHeight="false" outlineLevel="0" collapsed="false"/>
    <row r="3361" customFormat="false" ht="15" hidden="false" customHeight="false" outlineLevel="0" collapsed="false"/>
    <row r="3362" customFormat="false" ht="15" hidden="false" customHeight="false" outlineLevel="0" collapsed="false"/>
    <row r="3363" customFormat="false" ht="15" hidden="false" customHeight="false" outlineLevel="0" collapsed="false"/>
    <row r="3364" customFormat="false" ht="15" hidden="false" customHeight="false" outlineLevel="0" collapsed="false"/>
    <row r="3365" customFormat="false" ht="15" hidden="false" customHeight="false" outlineLevel="0" collapsed="false"/>
    <row r="3366" customFormat="false" ht="15" hidden="false" customHeight="false" outlineLevel="0" collapsed="false"/>
    <row r="3367" customFormat="false" ht="15" hidden="false" customHeight="false" outlineLevel="0" collapsed="false"/>
    <row r="3368" customFormat="false" ht="15" hidden="false" customHeight="false" outlineLevel="0" collapsed="false"/>
    <row r="3369" customFormat="false" ht="15" hidden="false" customHeight="false" outlineLevel="0" collapsed="false"/>
    <row r="3370" customFormat="false" ht="15" hidden="false" customHeight="false" outlineLevel="0" collapsed="false"/>
    <row r="3371" customFormat="false" ht="15" hidden="false" customHeight="false" outlineLevel="0" collapsed="false"/>
    <row r="3372" customFormat="false" ht="15" hidden="false" customHeight="false" outlineLevel="0" collapsed="false"/>
    <row r="3373" customFormat="false" ht="15" hidden="false" customHeight="false" outlineLevel="0" collapsed="false"/>
    <row r="3374" customFormat="false" ht="15" hidden="false" customHeight="false" outlineLevel="0" collapsed="false"/>
    <row r="3375" customFormat="false" ht="15" hidden="false" customHeight="false" outlineLevel="0" collapsed="false"/>
    <row r="3376" customFormat="false" ht="15" hidden="false" customHeight="false" outlineLevel="0" collapsed="false"/>
    <row r="3377" customFormat="false" ht="15" hidden="false" customHeight="false" outlineLevel="0" collapsed="false"/>
    <row r="3378" customFormat="false" ht="15" hidden="false" customHeight="false" outlineLevel="0" collapsed="false"/>
    <row r="3379" customFormat="false" ht="15" hidden="false" customHeight="false" outlineLevel="0" collapsed="false"/>
    <row r="3380" customFormat="false" ht="15" hidden="false" customHeight="false" outlineLevel="0" collapsed="false"/>
    <row r="3381" customFormat="false" ht="15" hidden="false" customHeight="false" outlineLevel="0" collapsed="false"/>
    <row r="3382" customFormat="false" ht="15" hidden="false" customHeight="false" outlineLevel="0" collapsed="false"/>
    <row r="3383" customFormat="false" ht="15" hidden="false" customHeight="false" outlineLevel="0" collapsed="false"/>
    <row r="3384" customFormat="false" ht="15" hidden="false" customHeight="false" outlineLevel="0" collapsed="false"/>
    <row r="3385" customFormat="false" ht="15" hidden="false" customHeight="false" outlineLevel="0" collapsed="false"/>
    <row r="3386" customFormat="false" ht="15" hidden="false" customHeight="false" outlineLevel="0" collapsed="false"/>
    <row r="3387" customFormat="false" ht="15" hidden="false" customHeight="false" outlineLevel="0" collapsed="false"/>
    <row r="3388" customFormat="false" ht="15" hidden="false" customHeight="false" outlineLevel="0" collapsed="false"/>
    <row r="3389" customFormat="false" ht="15" hidden="false" customHeight="false" outlineLevel="0" collapsed="false"/>
    <row r="3390" customFormat="false" ht="15" hidden="false" customHeight="false" outlineLevel="0" collapsed="false"/>
    <row r="3391" customFormat="false" ht="15" hidden="false" customHeight="false" outlineLevel="0" collapsed="false"/>
    <row r="3392" customFormat="false" ht="15" hidden="false" customHeight="false" outlineLevel="0" collapsed="false"/>
    <row r="3393" customFormat="false" ht="15" hidden="false" customHeight="false" outlineLevel="0" collapsed="false"/>
    <row r="3394" customFormat="false" ht="15" hidden="false" customHeight="false" outlineLevel="0" collapsed="false"/>
    <row r="3395" customFormat="false" ht="15" hidden="false" customHeight="false" outlineLevel="0" collapsed="false"/>
    <row r="3396" customFormat="false" ht="15" hidden="false" customHeight="false" outlineLevel="0" collapsed="false"/>
    <row r="3397" customFormat="false" ht="15" hidden="false" customHeight="false" outlineLevel="0" collapsed="false"/>
    <row r="3398" customFormat="false" ht="15" hidden="false" customHeight="false" outlineLevel="0" collapsed="false"/>
    <row r="3399" customFormat="false" ht="15" hidden="false" customHeight="false" outlineLevel="0" collapsed="false"/>
    <row r="3400" customFormat="false" ht="15" hidden="false" customHeight="false" outlineLevel="0" collapsed="false"/>
    <row r="3401" customFormat="false" ht="15" hidden="false" customHeight="false" outlineLevel="0" collapsed="false"/>
    <row r="3402" customFormat="false" ht="15" hidden="false" customHeight="false" outlineLevel="0" collapsed="false"/>
    <row r="3403" customFormat="false" ht="15" hidden="false" customHeight="false" outlineLevel="0" collapsed="false"/>
    <row r="3404" customFormat="false" ht="15" hidden="false" customHeight="false" outlineLevel="0" collapsed="false"/>
    <row r="3405" customFormat="false" ht="15" hidden="false" customHeight="false" outlineLevel="0" collapsed="false"/>
    <row r="3406" customFormat="false" ht="15" hidden="false" customHeight="false" outlineLevel="0" collapsed="false"/>
    <row r="3407" customFormat="false" ht="15" hidden="false" customHeight="false" outlineLevel="0" collapsed="false"/>
    <row r="3408" customFormat="false" ht="15" hidden="false" customHeight="false" outlineLevel="0" collapsed="false"/>
    <row r="3409" customFormat="false" ht="15" hidden="false" customHeight="false" outlineLevel="0" collapsed="false"/>
    <row r="3410" customFormat="false" ht="15" hidden="false" customHeight="false" outlineLevel="0" collapsed="false"/>
    <row r="3411" customFormat="false" ht="15" hidden="false" customHeight="false" outlineLevel="0" collapsed="false"/>
    <row r="3412" customFormat="false" ht="15" hidden="false" customHeight="false" outlineLevel="0" collapsed="false"/>
    <row r="3413" customFormat="false" ht="15" hidden="false" customHeight="false" outlineLevel="0" collapsed="false"/>
    <row r="3414" customFormat="false" ht="15" hidden="false" customHeight="false" outlineLevel="0" collapsed="false"/>
    <row r="3415" customFormat="false" ht="15" hidden="false" customHeight="false" outlineLevel="0" collapsed="false"/>
    <row r="3416" customFormat="false" ht="15" hidden="false" customHeight="false" outlineLevel="0" collapsed="false"/>
    <row r="3417" customFormat="false" ht="15" hidden="false" customHeight="false" outlineLevel="0" collapsed="false"/>
    <row r="3418" customFormat="false" ht="15" hidden="false" customHeight="false" outlineLevel="0" collapsed="false"/>
    <row r="3419" customFormat="false" ht="15" hidden="false" customHeight="false" outlineLevel="0" collapsed="false"/>
    <row r="3420" customFormat="false" ht="15" hidden="false" customHeight="false" outlineLevel="0" collapsed="false"/>
    <row r="3421" customFormat="false" ht="15" hidden="false" customHeight="false" outlineLevel="0" collapsed="false"/>
    <row r="3422" customFormat="false" ht="15" hidden="false" customHeight="false" outlineLevel="0" collapsed="false"/>
    <row r="3423" customFormat="false" ht="15" hidden="false" customHeight="false" outlineLevel="0" collapsed="false"/>
    <row r="3424" customFormat="false" ht="15" hidden="false" customHeight="false" outlineLevel="0" collapsed="false"/>
    <row r="3425" customFormat="false" ht="15" hidden="false" customHeight="false" outlineLevel="0" collapsed="false"/>
    <row r="3426" customFormat="false" ht="15" hidden="false" customHeight="false" outlineLevel="0" collapsed="false"/>
    <row r="3427" customFormat="false" ht="15" hidden="false" customHeight="false" outlineLevel="0" collapsed="false"/>
    <row r="3428" customFormat="false" ht="15" hidden="false" customHeight="false" outlineLevel="0" collapsed="false"/>
    <row r="3429" customFormat="false" ht="15" hidden="false" customHeight="false" outlineLevel="0" collapsed="false"/>
    <row r="3430" customFormat="false" ht="15" hidden="false" customHeight="false" outlineLevel="0" collapsed="false"/>
    <row r="3431" customFormat="false" ht="15" hidden="false" customHeight="false" outlineLevel="0" collapsed="false"/>
    <row r="3432" customFormat="false" ht="15" hidden="false" customHeight="false" outlineLevel="0" collapsed="false"/>
    <row r="3433" customFormat="false" ht="15" hidden="false" customHeight="false" outlineLevel="0" collapsed="false"/>
    <row r="3434" customFormat="false" ht="15" hidden="false" customHeight="false" outlineLevel="0" collapsed="false"/>
    <row r="3435" customFormat="false" ht="15" hidden="false" customHeight="false" outlineLevel="0" collapsed="false"/>
    <row r="3436" customFormat="false" ht="15" hidden="false" customHeight="false" outlineLevel="0" collapsed="false"/>
    <row r="3437" customFormat="false" ht="15" hidden="false" customHeight="false" outlineLevel="0" collapsed="false"/>
    <row r="3438" customFormat="false" ht="15" hidden="false" customHeight="false" outlineLevel="0" collapsed="false"/>
    <row r="3439" customFormat="false" ht="15" hidden="false" customHeight="false" outlineLevel="0" collapsed="false"/>
    <row r="3440" customFormat="false" ht="15" hidden="false" customHeight="false" outlineLevel="0" collapsed="false"/>
    <row r="3441" customFormat="false" ht="15" hidden="false" customHeight="false" outlineLevel="0" collapsed="false"/>
    <row r="3442" customFormat="false" ht="15" hidden="false" customHeight="false" outlineLevel="0" collapsed="false"/>
    <row r="3443" customFormat="false" ht="15" hidden="false" customHeight="false" outlineLevel="0" collapsed="false"/>
    <row r="3444" customFormat="false" ht="15" hidden="false" customHeight="false" outlineLevel="0" collapsed="false"/>
    <row r="3445" customFormat="false" ht="15" hidden="false" customHeight="false" outlineLevel="0" collapsed="false"/>
    <row r="3446" customFormat="false" ht="15" hidden="false" customHeight="false" outlineLevel="0" collapsed="false"/>
    <row r="3447" customFormat="false" ht="15" hidden="false" customHeight="false" outlineLevel="0" collapsed="false"/>
    <row r="3448" customFormat="false" ht="15" hidden="false" customHeight="false" outlineLevel="0" collapsed="false"/>
    <row r="3449" customFormat="false" ht="15" hidden="false" customHeight="false" outlineLevel="0" collapsed="false"/>
    <row r="3450" customFormat="false" ht="15" hidden="false" customHeight="false" outlineLevel="0" collapsed="false"/>
    <row r="3451" customFormat="false" ht="15" hidden="false" customHeight="false" outlineLevel="0" collapsed="false"/>
    <row r="3452" customFormat="false" ht="15" hidden="false" customHeight="false" outlineLevel="0" collapsed="false"/>
    <row r="3453" customFormat="false" ht="15" hidden="false" customHeight="false" outlineLevel="0" collapsed="false"/>
    <row r="3454" customFormat="false" ht="15" hidden="false" customHeight="false" outlineLevel="0" collapsed="false"/>
    <row r="3455" customFormat="false" ht="15" hidden="false" customHeight="false" outlineLevel="0" collapsed="false"/>
    <row r="3456" customFormat="false" ht="15" hidden="false" customHeight="false" outlineLevel="0" collapsed="false"/>
    <row r="3457" customFormat="false" ht="15" hidden="false" customHeight="false" outlineLevel="0" collapsed="false"/>
    <row r="3458" customFormat="false" ht="15" hidden="false" customHeight="false" outlineLevel="0" collapsed="false"/>
    <row r="3459" customFormat="false" ht="15" hidden="false" customHeight="false" outlineLevel="0" collapsed="false"/>
    <row r="3460" customFormat="false" ht="15" hidden="false" customHeight="false" outlineLevel="0" collapsed="false"/>
    <row r="3461" customFormat="false" ht="15" hidden="false" customHeight="false" outlineLevel="0" collapsed="false"/>
    <row r="3462" customFormat="false" ht="15" hidden="false" customHeight="false" outlineLevel="0" collapsed="false"/>
    <row r="3463" customFormat="false" ht="15" hidden="false" customHeight="false" outlineLevel="0" collapsed="false"/>
    <row r="3464" customFormat="false" ht="15" hidden="false" customHeight="false" outlineLevel="0" collapsed="false"/>
    <row r="3465" customFormat="false" ht="15" hidden="false" customHeight="false" outlineLevel="0" collapsed="false"/>
    <row r="3466" customFormat="false" ht="15" hidden="false" customHeight="false" outlineLevel="0" collapsed="false"/>
    <row r="3467" customFormat="false" ht="15" hidden="false" customHeight="false" outlineLevel="0" collapsed="false"/>
    <row r="3468" customFormat="false" ht="15" hidden="false" customHeight="false" outlineLevel="0" collapsed="false"/>
    <row r="3469" customFormat="false" ht="15" hidden="false" customHeight="false" outlineLevel="0" collapsed="false"/>
    <row r="3470" customFormat="false" ht="15" hidden="false" customHeight="false" outlineLevel="0" collapsed="false"/>
    <row r="3471" customFormat="false" ht="15" hidden="false" customHeight="false" outlineLevel="0" collapsed="false"/>
    <row r="3472" customFormat="false" ht="15" hidden="false" customHeight="false" outlineLevel="0" collapsed="false"/>
    <row r="3473" customFormat="false" ht="15" hidden="false" customHeight="false" outlineLevel="0" collapsed="false"/>
    <row r="3474" customFormat="false" ht="15" hidden="false" customHeight="false" outlineLevel="0" collapsed="false"/>
    <row r="3475" customFormat="false" ht="15" hidden="false" customHeight="false" outlineLevel="0" collapsed="false"/>
    <row r="3476" customFormat="false" ht="15" hidden="false" customHeight="false" outlineLevel="0" collapsed="false"/>
    <row r="3477" customFormat="false" ht="15" hidden="false" customHeight="false" outlineLevel="0" collapsed="false"/>
    <row r="3478" customFormat="false" ht="15" hidden="false" customHeight="false" outlineLevel="0" collapsed="false"/>
    <row r="3479" customFormat="false" ht="15" hidden="false" customHeight="false" outlineLevel="0" collapsed="false"/>
    <row r="3480" customFormat="false" ht="15" hidden="false" customHeight="false" outlineLevel="0" collapsed="false"/>
    <row r="3481" customFormat="false" ht="15" hidden="false" customHeight="false" outlineLevel="0" collapsed="false"/>
    <row r="3482" customFormat="false" ht="15" hidden="false" customHeight="false" outlineLevel="0" collapsed="false"/>
    <row r="3483" customFormat="false" ht="15" hidden="false" customHeight="false" outlineLevel="0" collapsed="false"/>
    <row r="3484" customFormat="false" ht="15" hidden="false" customHeight="false" outlineLevel="0" collapsed="false"/>
    <row r="3485" customFormat="false" ht="15" hidden="false" customHeight="false" outlineLevel="0" collapsed="false"/>
    <row r="3486" customFormat="false" ht="15" hidden="false" customHeight="false" outlineLevel="0" collapsed="false"/>
    <row r="3487" customFormat="false" ht="15" hidden="false" customHeight="false" outlineLevel="0" collapsed="false"/>
    <row r="3488" customFormat="false" ht="15" hidden="false" customHeight="false" outlineLevel="0" collapsed="false"/>
    <row r="3489" customFormat="false" ht="15" hidden="false" customHeight="false" outlineLevel="0" collapsed="false"/>
    <row r="3490" customFormat="false" ht="15" hidden="false" customHeight="false" outlineLevel="0" collapsed="false"/>
    <row r="3491" customFormat="false" ht="15" hidden="false" customHeight="false" outlineLevel="0" collapsed="false"/>
    <row r="3492" customFormat="false" ht="15" hidden="false" customHeight="false" outlineLevel="0" collapsed="false"/>
    <row r="3493" customFormat="false" ht="15" hidden="false" customHeight="false" outlineLevel="0" collapsed="false"/>
    <row r="3494" customFormat="false" ht="15" hidden="false" customHeight="false" outlineLevel="0" collapsed="false"/>
    <row r="3495" customFormat="false" ht="15" hidden="false" customHeight="false" outlineLevel="0" collapsed="false"/>
    <row r="3496" customFormat="false" ht="15" hidden="false" customHeight="false" outlineLevel="0" collapsed="false"/>
    <row r="3497" customFormat="false" ht="15" hidden="false" customHeight="false" outlineLevel="0" collapsed="false"/>
    <row r="3498" customFormat="false" ht="15" hidden="false" customHeight="false" outlineLevel="0" collapsed="false"/>
    <row r="3499" customFormat="false" ht="15" hidden="false" customHeight="false" outlineLevel="0" collapsed="false"/>
    <row r="3500" customFormat="false" ht="15" hidden="false" customHeight="false" outlineLevel="0" collapsed="false"/>
    <row r="3501" customFormat="false" ht="15" hidden="false" customHeight="false" outlineLevel="0" collapsed="false"/>
    <row r="3502" customFormat="false" ht="15" hidden="false" customHeight="false" outlineLevel="0" collapsed="false"/>
    <row r="3503" customFormat="false" ht="15" hidden="false" customHeight="false" outlineLevel="0" collapsed="false"/>
    <row r="3504" customFormat="false" ht="15" hidden="false" customHeight="false" outlineLevel="0" collapsed="false"/>
    <row r="3505" customFormat="false" ht="15" hidden="false" customHeight="false" outlineLevel="0" collapsed="false"/>
    <row r="3506" customFormat="false" ht="15" hidden="false" customHeight="false" outlineLevel="0" collapsed="false"/>
    <row r="3507" customFormat="false" ht="15" hidden="false" customHeight="false" outlineLevel="0" collapsed="false"/>
    <row r="3508" customFormat="false" ht="15" hidden="false" customHeight="false" outlineLevel="0" collapsed="false"/>
    <row r="3509" customFormat="false" ht="15" hidden="false" customHeight="false" outlineLevel="0" collapsed="false"/>
    <row r="3510" customFormat="false" ht="15" hidden="false" customHeight="false" outlineLevel="0" collapsed="false"/>
    <row r="3511" customFormat="false" ht="15" hidden="false" customHeight="false" outlineLevel="0" collapsed="false"/>
    <row r="3512" customFormat="false" ht="15" hidden="false" customHeight="false" outlineLevel="0" collapsed="false"/>
    <row r="3513" customFormat="false" ht="15" hidden="false" customHeight="false" outlineLevel="0" collapsed="false"/>
    <row r="3514" customFormat="false" ht="15" hidden="false" customHeight="false" outlineLevel="0" collapsed="false"/>
    <row r="3515" customFormat="false" ht="15" hidden="false" customHeight="false" outlineLevel="0" collapsed="false"/>
    <row r="3516" customFormat="false" ht="15" hidden="false" customHeight="false" outlineLevel="0" collapsed="false"/>
    <row r="3517" customFormat="false" ht="15" hidden="false" customHeight="false" outlineLevel="0" collapsed="false"/>
    <row r="3518" customFormat="false" ht="15" hidden="false" customHeight="false" outlineLevel="0" collapsed="false"/>
    <row r="3519" customFormat="false" ht="15" hidden="false" customHeight="false" outlineLevel="0" collapsed="false"/>
    <row r="3520" customFormat="false" ht="15" hidden="false" customHeight="false" outlineLevel="0" collapsed="false"/>
    <row r="3521" customFormat="false" ht="15" hidden="false" customHeight="false" outlineLevel="0" collapsed="false"/>
    <row r="3522" customFormat="false" ht="15" hidden="false" customHeight="false" outlineLevel="0" collapsed="false"/>
    <row r="3523" customFormat="false" ht="15" hidden="false" customHeight="false" outlineLevel="0" collapsed="false"/>
    <row r="3524" customFormat="false" ht="15" hidden="false" customHeight="false" outlineLevel="0" collapsed="false"/>
    <row r="3525" customFormat="false" ht="15" hidden="false" customHeight="false" outlineLevel="0" collapsed="false"/>
    <row r="3526" customFormat="false" ht="15" hidden="false" customHeight="false" outlineLevel="0" collapsed="false"/>
    <row r="3527" customFormat="false" ht="15" hidden="false" customHeight="false" outlineLevel="0" collapsed="false"/>
    <row r="3528" customFormat="false" ht="15" hidden="false" customHeight="false" outlineLevel="0" collapsed="false"/>
    <row r="3529" customFormat="false" ht="15" hidden="false" customHeight="false" outlineLevel="0" collapsed="false"/>
    <row r="3530" customFormat="false" ht="15" hidden="false" customHeight="false" outlineLevel="0" collapsed="false"/>
    <row r="3531" customFormat="false" ht="15" hidden="false" customHeight="false" outlineLevel="0" collapsed="false"/>
    <row r="3532" customFormat="false" ht="15" hidden="false" customHeight="false" outlineLevel="0" collapsed="false"/>
    <row r="3533" customFormat="false" ht="15" hidden="false" customHeight="false" outlineLevel="0" collapsed="false"/>
    <row r="3534" customFormat="false" ht="15" hidden="false" customHeight="false" outlineLevel="0" collapsed="false"/>
    <row r="3535" customFormat="false" ht="15" hidden="false" customHeight="false" outlineLevel="0" collapsed="false"/>
    <row r="3536" customFormat="false" ht="15" hidden="false" customHeight="false" outlineLevel="0" collapsed="false"/>
    <row r="3537" customFormat="false" ht="15" hidden="false" customHeight="false" outlineLevel="0" collapsed="false"/>
    <row r="3538" customFormat="false" ht="15" hidden="false" customHeight="false" outlineLevel="0" collapsed="false"/>
    <row r="3539" customFormat="false" ht="15" hidden="false" customHeight="false" outlineLevel="0" collapsed="false"/>
    <row r="3540" customFormat="false" ht="15" hidden="false" customHeight="false" outlineLevel="0" collapsed="false"/>
    <row r="3541" customFormat="false" ht="15" hidden="false" customHeight="false" outlineLevel="0" collapsed="false"/>
    <row r="3542" customFormat="false" ht="15" hidden="false" customHeight="false" outlineLevel="0" collapsed="false"/>
    <row r="3543" customFormat="false" ht="15" hidden="false" customHeight="false" outlineLevel="0" collapsed="false"/>
    <row r="3544" customFormat="false" ht="15" hidden="false" customHeight="false" outlineLevel="0" collapsed="false"/>
    <row r="3545" customFormat="false" ht="15" hidden="false" customHeight="false" outlineLevel="0" collapsed="false"/>
    <row r="3546" customFormat="false" ht="15" hidden="false" customHeight="false" outlineLevel="0" collapsed="false"/>
    <row r="3547" customFormat="false" ht="15" hidden="false" customHeight="false" outlineLevel="0" collapsed="false"/>
    <row r="3548" customFormat="false" ht="15" hidden="false" customHeight="false" outlineLevel="0" collapsed="false"/>
    <row r="3549" customFormat="false" ht="15" hidden="false" customHeight="false" outlineLevel="0" collapsed="false"/>
    <row r="3550" customFormat="false" ht="15" hidden="false" customHeight="false" outlineLevel="0" collapsed="false"/>
    <row r="3551" customFormat="false" ht="15" hidden="false" customHeight="false" outlineLevel="0" collapsed="false"/>
    <row r="3552" customFormat="false" ht="15" hidden="false" customHeight="false" outlineLevel="0" collapsed="false"/>
    <row r="3553" customFormat="false" ht="15" hidden="false" customHeight="false" outlineLevel="0" collapsed="false"/>
    <row r="3554" customFormat="false" ht="15" hidden="false" customHeight="false" outlineLevel="0" collapsed="false"/>
    <row r="3555" customFormat="false" ht="15" hidden="false" customHeight="false" outlineLevel="0" collapsed="false"/>
    <row r="3556" customFormat="false" ht="15" hidden="false" customHeight="false" outlineLevel="0" collapsed="false"/>
    <row r="3557" customFormat="false" ht="15" hidden="false" customHeight="false" outlineLevel="0" collapsed="false"/>
    <row r="3558" customFormat="false" ht="15" hidden="false" customHeight="false" outlineLevel="0" collapsed="false"/>
    <row r="3559" customFormat="false" ht="15" hidden="false" customHeight="false" outlineLevel="0" collapsed="false"/>
    <row r="3560" customFormat="false" ht="15" hidden="false" customHeight="false" outlineLevel="0" collapsed="false"/>
    <row r="3561" customFormat="false" ht="15" hidden="false" customHeight="false" outlineLevel="0" collapsed="false"/>
    <row r="3562" customFormat="false" ht="15" hidden="false" customHeight="false" outlineLevel="0" collapsed="false"/>
    <row r="3563" customFormat="false" ht="15" hidden="false" customHeight="false" outlineLevel="0" collapsed="false"/>
    <row r="3564" customFormat="false" ht="15" hidden="false" customHeight="false" outlineLevel="0" collapsed="false"/>
    <row r="3565" customFormat="false" ht="15" hidden="false" customHeight="false" outlineLevel="0" collapsed="false"/>
    <row r="3566" customFormat="false" ht="15" hidden="false" customHeight="false" outlineLevel="0" collapsed="false"/>
    <row r="3567" customFormat="false" ht="15" hidden="false" customHeight="false" outlineLevel="0" collapsed="false"/>
    <row r="3568" customFormat="false" ht="15" hidden="false" customHeight="false" outlineLevel="0" collapsed="false"/>
    <row r="3569" customFormat="false" ht="15" hidden="false" customHeight="false" outlineLevel="0" collapsed="false"/>
    <row r="3570" customFormat="false" ht="15" hidden="false" customHeight="false" outlineLevel="0" collapsed="false"/>
    <row r="3571" customFormat="false" ht="15" hidden="false" customHeight="false" outlineLevel="0" collapsed="false"/>
    <row r="3572" customFormat="false" ht="15" hidden="false" customHeight="false" outlineLevel="0" collapsed="false"/>
    <row r="3573" customFormat="false" ht="15" hidden="false" customHeight="false" outlineLevel="0" collapsed="false"/>
    <row r="3574" customFormat="false" ht="15" hidden="false" customHeight="false" outlineLevel="0" collapsed="false"/>
    <row r="3575" customFormat="false" ht="15" hidden="false" customHeight="false" outlineLevel="0" collapsed="false"/>
    <row r="3576" customFormat="false" ht="15" hidden="false" customHeight="false" outlineLevel="0" collapsed="false"/>
    <row r="3577" customFormat="false" ht="15" hidden="false" customHeight="false" outlineLevel="0" collapsed="false"/>
    <row r="3578" customFormat="false" ht="15" hidden="false" customHeight="false" outlineLevel="0" collapsed="false"/>
    <row r="3579" customFormat="false" ht="15" hidden="false" customHeight="false" outlineLevel="0" collapsed="false"/>
    <row r="3580" customFormat="false" ht="15" hidden="false" customHeight="false" outlineLevel="0" collapsed="false"/>
    <row r="3581" customFormat="false" ht="15" hidden="false" customHeight="false" outlineLevel="0" collapsed="false"/>
    <row r="3582" customFormat="false" ht="15" hidden="false" customHeight="false" outlineLevel="0" collapsed="false"/>
    <row r="3583" customFormat="false" ht="15" hidden="false" customHeight="false" outlineLevel="0" collapsed="false"/>
    <row r="3584" customFormat="false" ht="15" hidden="false" customHeight="false" outlineLevel="0" collapsed="false"/>
    <row r="3585" customFormat="false" ht="15" hidden="false" customHeight="false" outlineLevel="0" collapsed="false"/>
    <row r="3586" customFormat="false" ht="15" hidden="false" customHeight="false" outlineLevel="0" collapsed="false"/>
    <row r="3587" customFormat="false" ht="15" hidden="false" customHeight="false" outlineLevel="0" collapsed="false"/>
    <row r="3588" customFormat="false" ht="15" hidden="false" customHeight="false" outlineLevel="0" collapsed="false"/>
    <row r="3589" customFormat="false" ht="15" hidden="false" customHeight="false" outlineLevel="0" collapsed="false"/>
    <row r="3590" customFormat="false" ht="15" hidden="false" customHeight="false" outlineLevel="0" collapsed="false"/>
    <row r="3591" customFormat="false" ht="15" hidden="false" customHeight="false" outlineLevel="0" collapsed="false"/>
    <row r="3592" customFormat="false" ht="15" hidden="false" customHeight="false" outlineLevel="0" collapsed="false"/>
    <row r="3593" customFormat="false" ht="15" hidden="false" customHeight="false" outlineLevel="0" collapsed="false"/>
    <row r="3594" customFormat="false" ht="15" hidden="false" customHeight="false" outlineLevel="0" collapsed="false"/>
    <row r="3595" customFormat="false" ht="15" hidden="false" customHeight="false" outlineLevel="0" collapsed="false"/>
    <row r="3596" customFormat="false" ht="15" hidden="false" customHeight="false" outlineLevel="0" collapsed="false"/>
    <row r="3597" customFormat="false" ht="15" hidden="false" customHeight="false" outlineLevel="0" collapsed="false"/>
    <row r="3598" customFormat="false" ht="15" hidden="false" customHeight="false" outlineLevel="0" collapsed="false"/>
    <row r="3599" customFormat="false" ht="15" hidden="false" customHeight="false" outlineLevel="0" collapsed="false"/>
    <row r="3600" customFormat="false" ht="15" hidden="false" customHeight="false" outlineLevel="0" collapsed="false"/>
    <row r="3601" customFormat="false" ht="15" hidden="false" customHeight="false" outlineLevel="0" collapsed="false"/>
    <row r="3602" customFormat="false" ht="15" hidden="false" customHeight="false" outlineLevel="0" collapsed="false"/>
    <row r="3603" customFormat="false" ht="15" hidden="false" customHeight="false" outlineLevel="0" collapsed="false"/>
    <row r="3604" customFormat="false" ht="15" hidden="false" customHeight="false" outlineLevel="0" collapsed="false"/>
    <row r="3605" customFormat="false" ht="15" hidden="false" customHeight="false" outlineLevel="0" collapsed="false"/>
    <row r="3606" customFormat="false" ht="15" hidden="false" customHeight="false" outlineLevel="0" collapsed="false"/>
    <row r="3607" customFormat="false" ht="15" hidden="false" customHeight="false" outlineLevel="0" collapsed="false"/>
    <row r="3608" customFormat="false" ht="15" hidden="false" customHeight="false" outlineLevel="0" collapsed="false"/>
    <row r="3609" customFormat="false" ht="15" hidden="false" customHeight="false" outlineLevel="0" collapsed="false"/>
    <row r="3610" customFormat="false" ht="15" hidden="false" customHeight="false" outlineLevel="0" collapsed="false"/>
    <row r="3611" customFormat="false" ht="15" hidden="false" customHeight="false" outlineLevel="0" collapsed="false"/>
    <row r="3612" customFormat="false" ht="15" hidden="false" customHeight="false" outlineLevel="0" collapsed="false"/>
    <row r="3613" customFormat="false" ht="15" hidden="false" customHeight="false" outlineLevel="0" collapsed="false"/>
    <row r="3614" customFormat="false" ht="15" hidden="false" customHeight="false" outlineLevel="0" collapsed="false"/>
    <row r="3615" customFormat="false" ht="15" hidden="false" customHeight="false" outlineLevel="0" collapsed="false"/>
    <row r="3616" customFormat="false" ht="15" hidden="false" customHeight="false" outlineLevel="0" collapsed="false"/>
    <row r="3617" customFormat="false" ht="15" hidden="false" customHeight="false" outlineLevel="0" collapsed="false"/>
    <row r="3618" customFormat="false" ht="15" hidden="false" customHeight="false" outlineLevel="0" collapsed="false"/>
    <row r="3619" customFormat="false" ht="15" hidden="false" customHeight="false" outlineLevel="0" collapsed="false"/>
    <row r="3620" customFormat="false" ht="15" hidden="false" customHeight="false" outlineLevel="0" collapsed="false"/>
    <row r="3621" customFormat="false" ht="15" hidden="false" customHeight="false" outlineLevel="0" collapsed="false"/>
    <row r="3622" customFormat="false" ht="15" hidden="false" customHeight="false" outlineLevel="0" collapsed="false"/>
    <row r="3623" customFormat="false" ht="15" hidden="false" customHeight="false" outlineLevel="0" collapsed="false"/>
    <row r="3624" customFormat="false" ht="15" hidden="false" customHeight="false" outlineLevel="0" collapsed="false"/>
    <row r="3625" customFormat="false" ht="15" hidden="false" customHeight="false" outlineLevel="0" collapsed="false"/>
    <row r="3626" customFormat="false" ht="15" hidden="false" customHeight="false" outlineLevel="0" collapsed="false"/>
    <row r="3627" customFormat="false" ht="15" hidden="false" customHeight="false" outlineLevel="0" collapsed="false"/>
    <row r="3628" customFormat="false" ht="15" hidden="false" customHeight="false" outlineLevel="0" collapsed="false"/>
    <row r="3629" customFormat="false" ht="15" hidden="false" customHeight="false" outlineLevel="0" collapsed="false"/>
    <row r="3630" customFormat="false" ht="15" hidden="false" customHeight="false" outlineLevel="0" collapsed="false"/>
    <row r="3631" customFormat="false" ht="15" hidden="false" customHeight="false" outlineLevel="0" collapsed="false"/>
    <row r="3632" customFormat="false" ht="15" hidden="false" customHeight="false" outlineLevel="0" collapsed="false"/>
    <row r="3633" customFormat="false" ht="15" hidden="false" customHeight="false" outlineLevel="0" collapsed="false"/>
    <row r="3634" customFormat="false" ht="15" hidden="false" customHeight="false" outlineLevel="0" collapsed="false"/>
    <row r="3635" customFormat="false" ht="15" hidden="false" customHeight="false" outlineLevel="0" collapsed="false"/>
    <row r="3636" customFormat="false" ht="15" hidden="false" customHeight="false" outlineLevel="0" collapsed="false"/>
    <row r="3637" customFormat="false" ht="15" hidden="false" customHeight="false" outlineLevel="0" collapsed="false"/>
    <row r="3638" customFormat="false" ht="15" hidden="false" customHeight="false" outlineLevel="0" collapsed="false"/>
    <row r="3639" customFormat="false" ht="15" hidden="false" customHeight="false" outlineLevel="0" collapsed="false"/>
    <row r="3640" customFormat="false" ht="15" hidden="false" customHeight="false" outlineLevel="0" collapsed="false"/>
    <row r="3641" customFormat="false" ht="15" hidden="false" customHeight="false" outlineLevel="0" collapsed="false"/>
    <row r="3642" customFormat="false" ht="15" hidden="false" customHeight="false" outlineLevel="0" collapsed="false"/>
    <row r="3643" customFormat="false" ht="15" hidden="false" customHeight="false" outlineLevel="0" collapsed="false"/>
    <row r="3644" customFormat="false" ht="15" hidden="false" customHeight="false" outlineLevel="0" collapsed="false"/>
    <row r="3645" customFormat="false" ht="15" hidden="false" customHeight="false" outlineLevel="0" collapsed="false"/>
    <row r="3646" customFormat="false" ht="15" hidden="false" customHeight="false" outlineLevel="0" collapsed="false"/>
    <row r="3647" customFormat="false" ht="15" hidden="false" customHeight="false" outlineLevel="0" collapsed="false"/>
    <row r="3648" customFormat="false" ht="15" hidden="false" customHeight="false" outlineLevel="0" collapsed="false"/>
    <row r="3649" customFormat="false" ht="15" hidden="false" customHeight="false" outlineLevel="0" collapsed="false"/>
    <row r="3650" customFormat="false" ht="15" hidden="false" customHeight="false" outlineLevel="0" collapsed="false"/>
    <row r="3651" customFormat="false" ht="15" hidden="false" customHeight="false" outlineLevel="0" collapsed="false"/>
    <row r="3652" customFormat="false" ht="15" hidden="false" customHeight="false" outlineLevel="0" collapsed="false"/>
    <row r="3653" customFormat="false" ht="15" hidden="false" customHeight="false" outlineLevel="0" collapsed="false"/>
    <row r="3654" customFormat="false" ht="15" hidden="false" customHeight="false" outlineLevel="0" collapsed="false"/>
    <row r="3655" customFormat="false" ht="15" hidden="false" customHeight="false" outlineLevel="0" collapsed="false"/>
    <row r="3656" customFormat="false" ht="15" hidden="false" customHeight="false" outlineLevel="0" collapsed="false"/>
    <row r="3657" customFormat="false" ht="15" hidden="false" customHeight="false" outlineLevel="0" collapsed="false"/>
    <row r="3658" customFormat="false" ht="15" hidden="false" customHeight="false" outlineLevel="0" collapsed="false"/>
    <row r="3659" customFormat="false" ht="15" hidden="false" customHeight="false" outlineLevel="0" collapsed="false"/>
    <row r="3660" customFormat="false" ht="15" hidden="false" customHeight="false" outlineLevel="0" collapsed="false"/>
    <row r="3661" customFormat="false" ht="15" hidden="false" customHeight="false" outlineLevel="0" collapsed="false"/>
    <row r="3662" customFormat="false" ht="15" hidden="false" customHeight="false" outlineLevel="0" collapsed="false"/>
    <row r="3663" customFormat="false" ht="15" hidden="false" customHeight="false" outlineLevel="0" collapsed="false"/>
    <row r="3664" customFormat="false" ht="15" hidden="false" customHeight="false" outlineLevel="0" collapsed="false"/>
    <row r="3665" customFormat="false" ht="15" hidden="false" customHeight="false" outlineLevel="0" collapsed="false"/>
    <row r="3666" customFormat="false" ht="15" hidden="false" customHeight="false" outlineLevel="0" collapsed="false"/>
    <row r="3667" customFormat="false" ht="15" hidden="false" customHeight="false" outlineLevel="0" collapsed="false"/>
    <row r="3668" customFormat="false" ht="15" hidden="false" customHeight="false" outlineLevel="0" collapsed="false"/>
    <row r="3669" customFormat="false" ht="15" hidden="false" customHeight="false" outlineLevel="0" collapsed="false"/>
    <row r="3670" customFormat="false" ht="15" hidden="false" customHeight="false" outlineLevel="0" collapsed="false"/>
    <row r="3671" customFormat="false" ht="15" hidden="false" customHeight="false" outlineLevel="0" collapsed="false"/>
    <row r="3672" customFormat="false" ht="15" hidden="false" customHeight="false" outlineLevel="0" collapsed="false"/>
    <row r="3673" customFormat="false" ht="15" hidden="false" customHeight="false" outlineLevel="0" collapsed="false"/>
    <row r="3674" customFormat="false" ht="15" hidden="false" customHeight="false" outlineLevel="0" collapsed="false"/>
    <row r="3675" customFormat="false" ht="15" hidden="false" customHeight="false" outlineLevel="0" collapsed="false"/>
    <row r="3676" customFormat="false" ht="15" hidden="false" customHeight="false" outlineLevel="0" collapsed="false"/>
    <row r="3677" customFormat="false" ht="15" hidden="false" customHeight="false" outlineLevel="0" collapsed="false"/>
    <row r="3678" customFormat="false" ht="15" hidden="false" customHeight="false" outlineLevel="0" collapsed="false"/>
    <row r="3679" customFormat="false" ht="15" hidden="false" customHeight="false" outlineLevel="0" collapsed="false"/>
    <row r="3680" customFormat="false" ht="15" hidden="false" customHeight="false" outlineLevel="0" collapsed="false"/>
    <row r="3681" customFormat="false" ht="15" hidden="false" customHeight="false" outlineLevel="0" collapsed="false"/>
    <row r="3682" customFormat="false" ht="15" hidden="false" customHeight="false" outlineLevel="0" collapsed="false"/>
    <row r="3683" customFormat="false" ht="15" hidden="false" customHeight="false" outlineLevel="0" collapsed="false"/>
    <row r="3684" customFormat="false" ht="15" hidden="false" customHeight="false" outlineLevel="0" collapsed="false"/>
    <row r="3685" customFormat="false" ht="15" hidden="false" customHeight="false" outlineLevel="0" collapsed="false"/>
    <row r="3686" customFormat="false" ht="15" hidden="false" customHeight="false" outlineLevel="0" collapsed="false"/>
    <row r="3687" customFormat="false" ht="15" hidden="false" customHeight="false" outlineLevel="0" collapsed="false"/>
    <row r="3688" customFormat="false" ht="15" hidden="false" customHeight="false" outlineLevel="0" collapsed="false"/>
    <row r="3689" customFormat="false" ht="15" hidden="false" customHeight="false" outlineLevel="0" collapsed="false"/>
    <row r="3690" customFormat="false" ht="15" hidden="false" customHeight="false" outlineLevel="0" collapsed="false"/>
    <row r="3691" customFormat="false" ht="15" hidden="false" customHeight="false" outlineLevel="0" collapsed="false"/>
    <row r="3692" customFormat="false" ht="15" hidden="false" customHeight="false" outlineLevel="0" collapsed="false"/>
    <row r="3693" customFormat="false" ht="15" hidden="false" customHeight="false" outlineLevel="0" collapsed="false"/>
    <row r="3694" customFormat="false" ht="15" hidden="false" customHeight="false" outlineLevel="0" collapsed="false"/>
    <row r="3695" customFormat="false" ht="15" hidden="false" customHeight="false" outlineLevel="0" collapsed="false"/>
    <row r="3696" customFormat="false" ht="15" hidden="false" customHeight="false" outlineLevel="0" collapsed="false"/>
    <row r="3697" customFormat="false" ht="15" hidden="false" customHeight="false" outlineLevel="0" collapsed="false"/>
    <row r="3698" customFormat="false" ht="15" hidden="false" customHeight="false" outlineLevel="0" collapsed="false"/>
    <row r="3699" customFormat="false" ht="15" hidden="false" customHeight="false" outlineLevel="0" collapsed="false"/>
    <row r="3700" customFormat="false" ht="15" hidden="false" customHeight="false" outlineLevel="0" collapsed="false"/>
    <row r="3701" customFormat="false" ht="15" hidden="false" customHeight="false" outlineLevel="0" collapsed="false"/>
    <row r="3702" customFormat="false" ht="15" hidden="false" customHeight="false" outlineLevel="0" collapsed="false"/>
    <row r="3703" customFormat="false" ht="15" hidden="false" customHeight="false" outlineLevel="0" collapsed="false"/>
    <row r="3704" customFormat="false" ht="15" hidden="false" customHeight="false" outlineLevel="0" collapsed="false"/>
    <row r="3705" customFormat="false" ht="15" hidden="false" customHeight="false" outlineLevel="0" collapsed="false"/>
    <row r="3706" customFormat="false" ht="15" hidden="false" customHeight="false" outlineLevel="0" collapsed="false"/>
    <row r="3707" customFormat="false" ht="15" hidden="false" customHeight="false" outlineLevel="0" collapsed="false"/>
    <row r="3708" customFormat="false" ht="15" hidden="false" customHeight="false" outlineLevel="0" collapsed="false"/>
    <row r="3709" customFormat="false" ht="15" hidden="false" customHeight="false" outlineLevel="0" collapsed="false"/>
    <row r="3710" customFormat="false" ht="15" hidden="false" customHeight="false" outlineLevel="0" collapsed="false"/>
    <row r="3711" customFormat="false" ht="15" hidden="false" customHeight="false" outlineLevel="0" collapsed="false"/>
    <row r="3712" customFormat="false" ht="15" hidden="false" customHeight="false" outlineLevel="0" collapsed="false"/>
    <row r="3713" customFormat="false" ht="15" hidden="false" customHeight="false" outlineLevel="0" collapsed="false"/>
    <row r="3714" customFormat="false" ht="15" hidden="false" customHeight="false" outlineLevel="0" collapsed="false"/>
    <row r="3715" customFormat="false" ht="15" hidden="false" customHeight="false" outlineLevel="0" collapsed="false"/>
    <row r="3716" customFormat="false" ht="15" hidden="false" customHeight="false" outlineLevel="0" collapsed="false"/>
    <row r="3717" customFormat="false" ht="15" hidden="false" customHeight="false" outlineLevel="0" collapsed="false"/>
    <row r="3718" customFormat="false" ht="15" hidden="false" customHeight="false" outlineLevel="0" collapsed="false"/>
    <row r="3719" customFormat="false" ht="15" hidden="false" customHeight="false" outlineLevel="0" collapsed="false"/>
    <row r="3720" customFormat="false" ht="15" hidden="false" customHeight="false" outlineLevel="0" collapsed="false"/>
    <row r="3721" customFormat="false" ht="15" hidden="false" customHeight="false" outlineLevel="0" collapsed="false"/>
    <row r="3722" customFormat="false" ht="15" hidden="false" customHeight="false" outlineLevel="0" collapsed="false"/>
    <row r="3723" customFormat="false" ht="15" hidden="false" customHeight="false" outlineLevel="0" collapsed="false"/>
    <row r="3724" customFormat="false" ht="15" hidden="false" customHeight="false" outlineLevel="0" collapsed="false"/>
    <row r="3725" customFormat="false" ht="15" hidden="false" customHeight="false" outlineLevel="0" collapsed="false"/>
    <row r="3726" customFormat="false" ht="15" hidden="false" customHeight="false" outlineLevel="0" collapsed="false"/>
    <row r="3727" customFormat="false" ht="15" hidden="false" customHeight="false" outlineLevel="0" collapsed="false"/>
    <row r="3728" customFormat="false" ht="15" hidden="false" customHeight="false" outlineLevel="0" collapsed="false"/>
    <row r="3729" customFormat="false" ht="15" hidden="false" customHeight="false" outlineLevel="0" collapsed="false"/>
    <row r="3730" customFormat="false" ht="15" hidden="false" customHeight="false" outlineLevel="0" collapsed="false"/>
    <row r="3731" customFormat="false" ht="15" hidden="false" customHeight="false" outlineLevel="0" collapsed="false"/>
    <row r="3732" customFormat="false" ht="15" hidden="false" customHeight="false" outlineLevel="0" collapsed="false"/>
    <row r="3733" customFormat="false" ht="15" hidden="false" customHeight="false" outlineLevel="0" collapsed="false"/>
    <row r="3734" customFormat="false" ht="15" hidden="false" customHeight="false" outlineLevel="0" collapsed="false"/>
    <row r="3735" customFormat="false" ht="15" hidden="false" customHeight="false" outlineLevel="0" collapsed="false"/>
    <row r="3736" customFormat="false" ht="15" hidden="false" customHeight="false" outlineLevel="0" collapsed="false"/>
    <row r="3737" customFormat="false" ht="15" hidden="false" customHeight="false" outlineLevel="0" collapsed="false"/>
    <row r="3738" customFormat="false" ht="15" hidden="false" customHeight="false" outlineLevel="0" collapsed="false"/>
    <row r="3739" customFormat="false" ht="15" hidden="false" customHeight="false" outlineLevel="0" collapsed="false"/>
    <row r="3740" customFormat="false" ht="15" hidden="false" customHeight="false" outlineLevel="0" collapsed="false"/>
    <row r="3741" customFormat="false" ht="15" hidden="false" customHeight="false" outlineLevel="0" collapsed="false"/>
    <row r="3742" customFormat="false" ht="15" hidden="false" customHeight="false" outlineLevel="0" collapsed="false"/>
    <row r="3743" customFormat="false" ht="15" hidden="false" customHeight="false" outlineLevel="0" collapsed="false"/>
    <row r="3744" customFormat="false" ht="15" hidden="false" customHeight="false" outlineLevel="0" collapsed="false"/>
    <row r="3745" customFormat="false" ht="15" hidden="false" customHeight="false" outlineLevel="0" collapsed="false"/>
    <row r="3746" customFormat="false" ht="15" hidden="false" customHeight="false" outlineLevel="0" collapsed="false"/>
    <row r="3747" customFormat="false" ht="15" hidden="false" customHeight="false" outlineLevel="0" collapsed="false"/>
    <row r="3748" customFormat="false" ht="15" hidden="false" customHeight="false" outlineLevel="0" collapsed="false"/>
    <row r="3749" customFormat="false" ht="15" hidden="false" customHeight="false" outlineLevel="0" collapsed="false"/>
    <row r="3750" customFormat="false" ht="15" hidden="false" customHeight="false" outlineLevel="0" collapsed="false"/>
    <row r="3751" customFormat="false" ht="15" hidden="false" customHeight="false" outlineLevel="0" collapsed="false"/>
    <row r="3752" customFormat="false" ht="15" hidden="false" customHeight="false" outlineLevel="0" collapsed="false"/>
    <row r="3753" customFormat="false" ht="15" hidden="false" customHeight="false" outlineLevel="0" collapsed="false"/>
    <row r="3754" customFormat="false" ht="15" hidden="false" customHeight="false" outlineLevel="0" collapsed="false"/>
    <row r="3755" customFormat="false" ht="15" hidden="false" customHeight="false" outlineLevel="0" collapsed="false"/>
    <row r="3756" customFormat="false" ht="15" hidden="false" customHeight="false" outlineLevel="0" collapsed="false"/>
    <row r="3757" customFormat="false" ht="15" hidden="false" customHeight="false" outlineLevel="0" collapsed="false"/>
    <row r="3758" customFormat="false" ht="15" hidden="false" customHeight="false" outlineLevel="0" collapsed="false"/>
    <row r="3759" customFormat="false" ht="15" hidden="false" customHeight="false" outlineLevel="0" collapsed="false"/>
    <row r="3760" customFormat="false" ht="15" hidden="false" customHeight="false" outlineLevel="0" collapsed="false"/>
    <row r="3761" customFormat="false" ht="15" hidden="false" customHeight="false" outlineLevel="0" collapsed="false"/>
    <row r="3762" customFormat="false" ht="15" hidden="false" customHeight="false" outlineLevel="0" collapsed="false"/>
    <row r="3763" customFormat="false" ht="15" hidden="false" customHeight="false" outlineLevel="0" collapsed="false"/>
    <row r="3764" customFormat="false" ht="15" hidden="false" customHeight="false" outlineLevel="0" collapsed="false"/>
    <row r="3765" customFormat="false" ht="15" hidden="false" customHeight="false" outlineLevel="0" collapsed="false"/>
    <row r="3766" customFormat="false" ht="15" hidden="false" customHeight="false" outlineLevel="0" collapsed="false"/>
    <row r="3767" customFormat="false" ht="15" hidden="false" customHeight="false" outlineLevel="0" collapsed="false"/>
    <row r="3768" customFormat="false" ht="15" hidden="false" customHeight="false" outlineLevel="0" collapsed="false"/>
    <row r="3769" customFormat="false" ht="15" hidden="false" customHeight="false" outlineLevel="0" collapsed="false"/>
    <row r="3770" customFormat="false" ht="15" hidden="false" customHeight="false" outlineLevel="0" collapsed="false"/>
    <row r="3771" customFormat="false" ht="15" hidden="false" customHeight="false" outlineLevel="0" collapsed="false"/>
    <row r="3772" customFormat="false" ht="15" hidden="false" customHeight="false" outlineLevel="0" collapsed="false"/>
    <row r="3773" customFormat="false" ht="15" hidden="false" customHeight="false" outlineLevel="0" collapsed="false"/>
    <row r="3774" customFormat="false" ht="15" hidden="false" customHeight="false" outlineLevel="0" collapsed="false"/>
    <row r="3775" customFormat="false" ht="15" hidden="false" customHeight="false" outlineLevel="0" collapsed="false"/>
    <row r="3776" customFormat="false" ht="15" hidden="false" customHeight="false" outlineLevel="0" collapsed="false"/>
    <row r="3777" customFormat="false" ht="15" hidden="false" customHeight="false" outlineLevel="0" collapsed="false"/>
    <row r="3778" customFormat="false" ht="15" hidden="false" customHeight="false" outlineLevel="0" collapsed="false"/>
    <row r="3779" customFormat="false" ht="15" hidden="false" customHeight="false" outlineLevel="0" collapsed="false"/>
    <row r="3780" customFormat="false" ht="15" hidden="false" customHeight="false" outlineLevel="0" collapsed="false"/>
    <row r="3781" customFormat="false" ht="15" hidden="false" customHeight="false" outlineLevel="0" collapsed="false"/>
    <row r="3782" customFormat="false" ht="15" hidden="false" customHeight="false" outlineLevel="0" collapsed="false"/>
    <row r="3783" customFormat="false" ht="15" hidden="false" customHeight="false" outlineLevel="0" collapsed="false"/>
    <row r="3784" customFormat="false" ht="15" hidden="false" customHeight="false" outlineLevel="0" collapsed="false"/>
    <row r="3785" customFormat="false" ht="15" hidden="false" customHeight="false" outlineLevel="0" collapsed="false"/>
    <row r="3786" customFormat="false" ht="15" hidden="false" customHeight="false" outlineLevel="0" collapsed="false"/>
    <row r="3787" customFormat="false" ht="15" hidden="false" customHeight="false" outlineLevel="0" collapsed="false"/>
    <row r="3788" customFormat="false" ht="15" hidden="false" customHeight="false" outlineLevel="0" collapsed="false"/>
    <row r="3789" customFormat="false" ht="15" hidden="false" customHeight="false" outlineLevel="0" collapsed="false"/>
    <row r="3790" customFormat="false" ht="15" hidden="false" customHeight="false" outlineLevel="0" collapsed="false"/>
    <row r="3791" customFormat="false" ht="15" hidden="false" customHeight="false" outlineLevel="0" collapsed="false"/>
    <row r="3792" customFormat="false" ht="15" hidden="false" customHeight="false" outlineLevel="0" collapsed="false"/>
    <row r="3793" customFormat="false" ht="15" hidden="false" customHeight="false" outlineLevel="0" collapsed="false"/>
    <row r="3794" customFormat="false" ht="15" hidden="false" customHeight="false" outlineLevel="0" collapsed="false"/>
    <row r="3795" customFormat="false" ht="15" hidden="false" customHeight="false" outlineLevel="0" collapsed="false"/>
    <row r="3796" customFormat="false" ht="15" hidden="false" customHeight="false" outlineLevel="0" collapsed="false"/>
    <row r="3797" customFormat="false" ht="15" hidden="false" customHeight="false" outlineLevel="0" collapsed="false"/>
    <row r="3798" customFormat="false" ht="15" hidden="false" customHeight="false" outlineLevel="0" collapsed="false"/>
    <row r="3799" customFormat="false" ht="15" hidden="false" customHeight="false" outlineLevel="0" collapsed="false"/>
    <row r="3800" customFormat="false" ht="15" hidden="false" customHeight="false" outlineLevel="0" collapsed="false"/>
    <row r="3801" customFormat="false" ht="15" hidden="false" customHeight="false" outlineLevel="0" collapsed="false"/>
    <row r="3802" customFormat="false" ht="15" hidden="false" customHeight="false" outlineLevel="0" collapsed="false"/>
    <row r="3803" customFormat="false" ht="15" hidden="false" customHeight="false" outlineLevel="0" collapsed="false"/>
    <row r="3804" customFormat="false" ht="15" hidden="false" customHeight="false" outlineLevel="0" collapsed="false"/>
    <row r="3805" customFormat="false" ht="15" hidden="false" customHeight="false" outlineLevel="0" collapsed="false"/>
    <row r="3806" customFormat="false" ht="15" hidden="false" customHeight="false" outlineLevel="0" collapsed="false"/>
    <row r="3807" customFormat="false" ht="15" hidden="false" customHeight="false" outlineLevel="0" collapsed="false"/>
    <row r="3808" customFormat="false" ht="15" hidden="false" customHeight="false" outlineLevel="0" collapsed="false"/>
    <row r="3809" customFormat="false" ht="15" hidden="false" customHeight="false" outlineLevel="0" collapsed="false"/>
    <row r="3810" customFormat="false" ht="15" hidden="false" customHeight="false" outlineLevel="0" collapsed="false"/>
    <row r="3811" customFormat="false" ht="15" hidden="false" customHeight="false" outlineLevel="0" collapsed="false"/>
    <row r="3812" customFormat="false" ht="15" hidden="false" customHeight="false" outlineLevel="0" collapsed="false"/>
    <row r="3813" customFormat="false" ht="15" hidden="false" customHeight="false" outlineLevel="0" collapsed="false"/>
    <row r="3814" customFormat="false" ht="15" hidden="false" customHeight="false" outlineLevel="0" collapsed="false"/>
    <row r="3815" customFormat="false" ht="15" hidden="false" customHeight="false" outlineLevel="0" collapsed="false"/>
    <row r="3816" customFormat="false" ht="15" hidden="false" customHeight="false" outlineLevel="0" collapsed="false"/>
    <row r="3817" customFormat="false" ht="15" hidden="false" customHeight="false" outlineLevel="0" collapsed="false"/>
    <row r="3818" customFormat="false" ht="15" hidden="false" customHeight="false" outlineLevel="0" collapsed="false"/>
    <row r="3819" customFormat="false" ht="15" hidden="false" customHeight="false" outlineLevel="0" collapsed="false"/>
    <row r="3820" customFormat="false" ht="15" hidden="false" customHeight="false" outlineLevel="0" collapsed="false"/>
    <row r="3821" customFormat="false" ht="15" hidden="false" customHeight="false" outlineLevel="0" collapsed="false"/>
    <row r="3822" customFormat="false" ht="15" hidden="false" customHeight="false" outlineLevel="0" collapsed="false"/>
    <row r="3823" customFormat="false" ht="15" hidden="false" customHeight="false" outlineLevel="0" collapsed="false"/>
    <row r="3824" customFormat="false" ht="15" hidden="false" customHeight="false" outlineLevel="0" collapsed="false"/>
    <row r="3825" customFormat="false" ht="15" hidden="false" customHeight="false" outlineLevel="0" collapsed="false"/>
    <row r="3826" customFormat="false" ht="15" hidden="false" customHeight="false" outlineLevel="0" collapsed="false"/>
    <row r="3827" customFormat="false" ht="15" hidden="false" customHeight="false" outlineLevel="0" collapsed="false"/>
    <row r="3828" customFormat="false" ht="15" hidden="false" customHeight="false" outlineLevel="0" collapsed="false"/>
    <row r="3829" customFormat="false" ht="15" hidden="false" customHeight="false" outlineLevel="0" collapsed="false"/>
    <row r="3830" customFormat="false" ht="15" hidden="false" customHeight="false" outlineLevel="0" collapsed="false"/>
    <row r="3831" customFormat="false" ht="15" hidden="false" customHeight="false" outlineLevel="0" collapsed="false"/>
    <row r="3832" customFormat="false" ht="15" hidden="false" customHeight="false" outlineLevel="0" collapsed="false"/>
    <row r="3833" customFormat="false" ht="15" hidden="false" customHeight="false" outlineLevel="0" collapsed="false"/>
    <row r="3834" customFormat="false" ht="15" hidden="false" customHeight="false" outlineLevel="0" collapsed="false"/>
    <row r="3835" customFormat="false" ht="15" hidden="false" customHeight="false" outlineLevel="0" collapsed="false"/>
    <row r="3836" customFormat="false" ht="15" hidden="false" customHeight="false" outlineLevel="0" collapsed="false"/>
    <row r="3837" customFormat="false" ht="15" hidden="false" customHeight="false" outlineLevel="0" collapsed="false"/>
    <row r="3838" customFormat="false" ht="15" hidden="false" customHeight="false" outlineLevel="0" collapsed="false"/>
    <row r="3839" customFormat="false" ht="15" hidden="false" customHeight="false" outlineLevel="0" collapsed="false"/>
    <row r="3840" customFormat="false" ht="15" hidden="false" customHeight="false" outlineLevel="0" collapsed="false"/>
    <row r="3841" customFormat="false" ht="15" hidden="false" customHeight="false" outlineLevel="0" collapsed="false"/>
    <row r="3842" customFormat="false" ht="15" hidden="false" customHeight="false" outlineLevel="0" collapsed="false"/>
    <row r="3843" customFormat="false" ht="15" hidden="false" customHeight="false" outlineLevel="0" collapsed="false"/>
    <row r="3844" customFormat="false" ht="15" hidden="false" customHeight="false" outlineLevel="0" collapsed="false"/>
    <row r="3845" customFormat="false" ht="15" hidden="false" customHeight="false" outlineLevel="0" collapsed="false"/>
    <row r="3846" customFormat="false" ht="15" hidden="false" customHeight="false" outlineLevel="0" collapsed="false"/>
    <row r="3847" customFormat="false" ht="15" hidden="false" customHeight="false" outlineLevel="0" collapsed="false"/>
    <row r="3848" customFormat="false" ht="15" hidden="false" customHeight="false" outlineLevel="0" collapsed="false"/>
    <row r="3849" customFormat="false" ht="15" hidden="false" customHeight="false" outlineLevel="0" collapsed="false"/>
    <row r="3850" customFormat="false" ht="15" hidden="false" customHeight="false" outlineLevel="0" collapsed="false"/>
    <row r="3851" customFormat="false" ht="15" hidden="false" customHeight="false" outlineLevel="0" collapsed="false"/>
    <row r="3852" customFormat="false" ht="15" hidden="false" customHeight="false" outlineLevel="0" collapsed="false"/>
    <row r="3853" customFormat="false" ht="15" hidden="false" customHeight="false" outlineLevel="0" collapsed="false"/>
    <row r="3854" customFormat="false" ht="15" hidden="false" customHeight="false" outlineLevel="0" collapsed="false"/>
    <row r="3855" customFormat="false" ht="15" hidden="false" customHeight="false" outlineLevel="0" collapsed="false"/>
    <row r="3856" customFormat="false" ht="15" hidden="false" customHeight="false" outlineLevel="0" collapsed="false"/>
    <row r="3857" customFormat="false" ht="15" hidden="false" customHeight="false" outlineLevel="0" collapsed="false"/>
    <row r="3858" customFormat="false" ht="15" hidden="false" customHeight="false" outlineLevel="0" collapsed="false"/>
    <row r="3859" customFormat="false" ht="15" hidden="false" customHeight="false" outlineLevel="0" collapsed="false"/>
    <row r="3860" customFormat="false" ht="15" hidden="false" customHeight="false" outlineLevel="0" collapsed="false"/>
    <row r="3861" customFormat="false" ht="15" hidden="false" customHeight="false" outlineLevel="0" collapsed="false"/>
    <row r="3862" customFormat="false" ht="15" hidden="false" customHeight="false" outlineLevel="0" collapsed="false"/>
    <row r="3863" customFormat="false" ht="15" hidden="false" customHeight="false" outlineLevel="0" collapsed="false"/>
    <row r="3864" customFormat="false" ht="15" hidden="false" customHeight="false" outlineLevel="0" collapsed="false"/>
    <row r="3865" customFormat="false" ht="15" hidden="false" customHeight="false" outlineLevel="0" collapsed="false"/>
    <row r="3866" customFormat="false" ht="15" hidden="false" customHeight="false" outlineLevel="0" collapsed="false"/>
    <row r="3867" customFormat="false" ht="15" hidden="false" customHeight="false" outlineLevel="0" collapsed="false"/>
    <row r="3868" customFormat="false" ht="15" hidden="false" customHeight="false" outlineLevel="0" collapsed="false"/>
    <row r="3869" customFormat="false" ht="15" hidden="false" customHeight="false" outlineLevel="0" collapsed="false"/>
    <row r="3870" customFormat="false" ht="15" hidden="false" customHeight="false" outlineLevel="0" collapsed="false"/>
    <row r="3871" customFormat="false" ht="15" hidden="false" customHeight="false" outlineLevel="0" collapsed="false"/>
    <row r="3872" customFormat="false" ht="15" hidden="false" customHeight="false" outlineLevel="0" collapsed="false"/>
    <row r="3873" customFormat="false" ht="15" hidden="false" customHeight="false" outlineLevel="0" collapsed="false"/>
    <row r="3874" customFormat="false" ht="15" hidden="false" customHeight="false" outlineLevel="0" collapsed="false"/>
    <row r="3875" customFormat="false" ht="15" hidden="false" customHeight="false" outlineLevel="0" collapsed="false"/>
    <row r="3876" customFormat="false" ht="15" hidden="false" customHeight="false" outlineLevel="0" collapsed="false"/>
    <row r="3877" customFormat="false" ht="15" hidden="false" customHeight="false" outlineLevel="0" collapsed="false"/>
    <row r="3878" customFormat="false" ht="15" hidden="false" customHeight="false" outlineLevel="0" collapsed="false"/>
    <row r="3879" customFormat="false" ht="15" hidden="false" customHeight="false" outlineLevel="0" collapsed="false"/>
    <row r="3880" customFormat="false" ht="15" hidden="false" customHeight="false" outlineLevel="0" collapsed="false"/>
    <row r="3881" customFormat="false" ht="15" hidden="false" customHeight="false" outlineLevel="0" collapsed="false"/>
    <row r="3882" customFormat="false" ht="15" hidden="false" customHeight="false" outlineLevel="0" collapsed="false"/>
    <row r="3883" customFormat="false" ht="15" hidden="false" customHeight="false" outlineLevel="0" collapsed="false"/>
    <row r="3884" customFormat="false" ht="15" hidden="false" customHeight="false" outlineLevel="0" collapsed="false"/>
    <row r="3885" customFormat="false" ht="15" hidden="false" customHeight="false" outlineLevel="0" collapsed="false"/>
    <row r="3886" customFormat="false" ht="15" hidden="false" customHeight="false" outlineLevel="0" collapsed="false"/>
    <row r="3887" customFormat="false" ht="15" hidden="false" customHeight="false" outlineLevel="0" collapsed="false"/>
    <row r="3888" customFormat="false" ht="15" hidden="false" customHeight="false" outlineLevel="0" collapsed="false"/>
    <row r="3889" customFormat="false" ht="15" hidden="false" customHeight="false" outlineLevel="0" collapsed="false"/>
    <row r="3890" customFormat="false" ht="15" hidden="false" customHeight="false" outlineLevel="0" collapsed="false"/>
    <row r="3891" customFormat="false" ht="15" hidden="false" customHeight="false" outlineLevel="0" collapsed="false"/>
    <row r="3892" customFormat="false" ht="15" hidden="false" customHeight="false" outlineLevel="0" collapsed="false"/>
    <row r="3893" customFormat="false" ht="15" hidden="false" customHeight="false" outlineLevel="0" collapsed="false"/>
    <row r="3894" customFormat="false" ht="15" hidden="false" customHeight="false" outlineLevel="0" collapsed="false"/>
    <row r="3895" customFormat="false" ht="15" hidden="false" customHeight="false" outlineLevel="0" collapsed="false"/>
    <row r="3896" customFormat="false" ht="15" hidden="false" customHeight="false" outlineLevel="0" collapsed="false"/>
    <row r="3897" customFormat="false" ht="15" hidden="false" customHeight="false" outlineLevel="0" collapsed="false"/>
    <row r="3898" customFormat="false" ht="15" hidden="false" customHeight="false" outlineLevel="0" collapsed="false"/>
    <row r="3899" customFormat="false" ht="15" hidden="false" customHeight="false" outlineLevel="0" collapsed="false"/>
    <row r="3900" customFormat="false" ht="15" hidden="false" customHeight="false" outlineLevel="0" collapsed="false"/>
    <row r="3901" customFormat="false" ht="15" hidden="false" customHeight="false" outlineLevel="0" collapsed="false"/>
    <row r="3902" customFormat="false" ht="15" hidden="false" customHeight="false" outlineLevel="0" collapsed="false"/>
    <row r="3903" customFormat="false" ht="15" hidden="false" customHeight="false" outlineLevel="0" collapsed="false"/>
    <row r="3904" customFormat="false" ht="15" hidden="false" customHeight="false" outlineLevel="0" collapsed="false"/>
    <row r="3905" customFormat="false" ht="15" hidden="false" customHeight="false" outlineLevel="0" collapsed="false"/>
    <row r="3906" customFormat="false" ht="15" hidden="false" customHeight="false" outlineLevel="0" collapsed="false"/>
    <row r="3907" customFormat="false" ht="15" hidden="false" customHeight="false" outlineLevel="0" collapsed="false"/>
    <row r="3908" customFormat="false" ht="15" hidden="false" customHeight="false" outlineLevel="0" collapsed="false"/>
    <row r="3909" customFormat="false" ht="15" hidden="false" customHeight="false" outlineLevel="0" collapsed="false"/>
    <row r="3910" customFormat="false" ht="15" hidden="false" customHeight="false" outlineLevel="0" collapsed="false"/>
    <row r="3911" customFormat="false" ht="15" hidden="false" customHeight="false" outlineLevel="0" collapsed="false"/>
    <row r="3912" customFormat="false" ht="15" hidden="false" customHeight="false" outlineLevel="0" collapsed="false"/>
    <row r="3913" customFormat="false" ht="15" hidden="false" customHeight="false" outlineLevel="0" collapsed="false"/>
    <row r="3914" customFormat="false" ht="15" hidden="false" customHeight="false" outlineLevel="0" collapsed="false"/>
    <row r="3915" customFormat="false" ht="15" hidden="false" customHeight="false" outlineLevel="0" collapsed="false"/>
    <row r="3916" customFormat="false" ht="15" hidden="false" customHeight="false" outlineLevel="0" collapsed="false"/>
    <row r="3917" customFormat="false" ht="15" hidden="false" customHeight="false" outlineLevel="0" collapsed="false"/>
    <row r="3918" customFormat="false" ht="15" hidden="false" customHeight="false" outlineLevel="0" collapsed="false"/>
    <row r="3919" customFormat="false" ht="15" hidden="false" customHeight="false" outlineLevel="0" collapsed="false"/>
    <row r="3920" customFormat="false" ht="15" hidden="false" customHeight="false" outlineLevel="0" collapsed="false"/>
    <row r="3921" customFormat="false" ht="15" hidden="false" customHeight="false" outlineLevel="0" collapsed="false"/>
    <row r="3922" customFormat="false" ht="15" hidden="false" customHeight="false" outlineLevel="0" collapsed="false"/>
    <row r="3923" customFormat="false" ht="15" hidden="false" customHeight="false" outlineLevel="0" collapsed="false"/>
    <row r="3924" customFormat="false" ht="15" hidden="false" customHeight="false" outlineLevel="0" collapsed="false"/>
    <row r="3925" customFormat="false" ht="15" hidden="false" customHeight="false" outlineLevel="0" collapsed="false"/>
    <row r="3926" customFormat="false" ht="15" hidden="false" customHeight="false" outlineLevel="0" collapsed="false"/>
    <row r="3927" customFormat="false" ht="15" hidden="false" customHeight="false" outlineLevel="0" collapsed="false"/>
    <row r="3928" customFormat="false" ht="15" hidden="false" customHeight="false" outlineLevel="0" collapsed="false"/>
    <row r="3929" customFormat="false" ht="15" hidden="false" customHeight="false" outlineLevel="0" collapsed="false"/>
    <row r="3930" customFormat="false" ht="15" hidden="false" customHeight="false" outlineLevel="0" collapsed="false"/>
    <row r="3931" customFormat="false" ht="15" hidden="false" customHeight="false" outlineLevel="0" collapsed="false"/>
    <row r="3932" customFormat="false" ht="15" hidden="false" customHeight="false" outlineLevel="0" collapsed="false"/>
    <row r="3933" customFormat="false" ht="15" hidden="false" customHeight="false" outlineLevel="0" collapsed="false"/>
    <row r="3934" customFormat="false" ht="15" hidden="false" customHeight="false" outlineLevel="0" collapsed="false"/>
    <row r="3935" customFormat="false" ht="15" hidden="false" customHeight="false" outlineLevel="0" collapsed="false"/>
    <row r="3936" customFormat="false" ht="15" hidden="false" customHeight="false" outlineLevel="0" collapsed="false"/>
    <row r="3937" customFormat="false" ht="15" hidden="false" customHeight="false" outlineLevel="0" collapsed="false"/>
    <row r="3938" customFormat="false" ht="15" hidden="false" customHeight="false" outlineLevel="0" collapsed="false"/>
    <row r="3939" customFormat="false" ht="15" hidden="false" customHeight="false" outlineLevel="0" collapsed="false"/>
    <row r="3940" customFormat="false" ht="15" hidden="false" customHeight="false" outlineLevel="0" collapsed="false"/>
    <row r="3941" customFormat="false" ht="15" hidden="false" customHeight="false" outlineLevel="0" collapsed="false"/>
    <row r="3942" customFormat="false" ht="15" hidden="false" customHeight="false" outlineLevel="0" collapsed="false"/>
    <row r="3943" customFormat="false" ht="15" hidden="false" customHeight="false" outlineLevel="0" collapsed="false"/>
    <row r="3944" customFormat="false" ht="15" hidden="false" customHeight="false" outlineLevel="0" collapsed="false"/>
    <row r="3945" customFormat="false" ht="15" hidden="false" customHeight="false" outlineLevel="0" collapsed="false"/>
    <row r="3946" customFormat="false" ht="15" hidden="false" customHeight="false" outlineLevel="0" collapsed="false"/>
    <row r="3947" customFormat="false" ht="15" hidden="false" customHeight="false" outlineLevel="0" collapsed="false"/>
    <row r="3948" customFormat="false" ht="15" hidden="false" customHeight="false" outlineLevel="0" collapsed="false"/>
    <row r="3949" customFormat="false" ht="15" hidden="false" customHeight="false" outlineLevel="0" collapsed="false"/>
    <row r="3950" customFormat="false" ht="15" hidden="false" customHeight="false" outlineLevel="0" collapsed="false"/>
    <row r="3951" customFormat="false" ht="15" hidden="false" customHeight="false" outlineLevel="0" collapsed="false"/>
    <row r="3952" customFormat="false" ht="15" hidden="false" customHeight="false" outlineLevel="0" collapsed="false"/>
    <row r="3953" customFormat="false" ht="15" hidden="false" customHeight="false" outlineLevel="0" collapsed="false"/>
    <row r="3954" customFormat="false" ht="15" hidden="false" customHeight="false" outlineLevel="0" collapsed="false"/>
    <row r="3955" customFormat="false" ht="15" hidden="false" customHeight="false" outlineLevel="0" collapsed="false"/>
    <row r="3956" customFormat="false" ht="15" hidden="false" customHeight="false" outlineLevel="0" collapsed="false"/>
    <row r="3957" customFormat="false" ht="15" hidden="false" customHeight="false" outlineLevel="0" collapsed="false"/>
    <row r="3958" customFormat="false" ht="15" hidden="false" customHeight="false" outlineLevel="0" collapsed="false"/>
    <row r="3959" customFormat="false" ht="15" hidden="false" customHeight="false" outlineLevel="0" collapsed="false"/>
    <row r="3960" customFormat="false" ht="15" hidden="false" customHeight="false" outlineLevel="0" collapsed="false"/>
    <row r="3961" customFormat="false" ht="15" hidden="false" customHeight="false" outlineLevel="0" collapsed="false"/>
    <row r="3962" customFormat="false" ht="15" hidden="false" customHeight="false" outlineLevel="0" collapsed="false"/>
    <row r="3963" customFormat="false" ht="15" hidden="false" customHeight="false" outlineLevel="0" collapsed="false"/>
    <row r="3964" customFormat="false" ht="15" hidden="false" customHeight="false" outlineLevel="0" collapsed="false"/>
    <row r="3965" customFormat="false" ht="15" hidden="false" customHeight="false" outlineLevel="0" collapsed="false"/>
    <row r="3966" customFormat="false" ht="15" hidden="false" customHeight="false" outlineLevel="0" collapsed="false"/>
    <row r="3967" customFormat="false" ht="15" hidden="false" customHeight="false" outlineLevel="0" collapsed="false"/>
    <row r="3968" customFormat="false" ht="15" hidden="false" customHeight="false" outlineLevel="0" collapsed="false"/>
    <row r="3969" customFormat="false" ht="15" hidden="false" customHeight="false" outlineLevel="0" collapsed="false"/>
    <row r="3970" customFormat="false" ht="15" hidden="false" customHeight="false" outlineLevel="0" collapsed="false"/>
    <row r="3971" customFormat="false" ht="15" hidden="false" customHeight="false" outlineLevel="0" collapsed="false"/>
    <row r="3972" customFormat="false" ht="15" hidden="false" customHeight="false" outlineLevel="0" collapsed="false"/>
    <row r="3973" customFormat="false" ht="15" hidden="false" customHeight="false" outlineLevel="0" collapsed="false"/>
    <row r="3974" customFormat="false" ht="15" hidden="false" customHeight="false" outlineLevel="0" collapsed="false"/>
    <row r="3975" customFormat="false" ht="15" hidden="false" customHeight="false" outlineLevel="0" collapsed="false"/>
    <row r="3976" customFormat="false" ht="15" hidden="false" customHeight="false" outlineLevel="0" collapsed="false"/>
    <row r="3977" customFormat="false" ht="15" hidden="false" customHeight="false" outlineLevel="0" collapsed="false"/>
    <row r="3978" customFormat="false" ht="15" hidden="false" customHeight="false" outlineLevel="0" collapsed="false"/>
    <row r="3979" customFormat="false" ht="15" hidden="false" customHeight="false" outlineLevel="0" collapsed="false"/>
    <row r="3980" customFormat="false" ht="15" hidden="false" customHeight="false" outlineLevel="0" collapsed="false"/>
    <row r="3981" customFormat="false" ht="15" hidden="false" customHeight="false" outlineLevel="0" collapsed="false"/>
    <row r="3982" customFormat="false" ht="15" hidden="false" customHeight="false" outlineLevel="0" collapsed="false"/>
    <row r="3983" customFormat="false" ht="15" hidden="false" customHeight="false" outlineLevel="0" collapsed="false"/>
    <row r="3984" customFormat="false" ht="15" hidden="false" customHeight="false" outlineLevel="0" collapsed="false"/>
    <row r="3985" customFormat="false" ht="15" hidden="false" customHeight="false" outlineLevel="0" collapsed="false"/>
    <row r="3986" customFormat="false" ht="15" hidden="false" customHeight="false" outlineLevel="0" collapsed="false"/>
    <row r="3987" customFormat="false" ht="15" hidden="false" customHeight="false" outlineLevel="0" collapsed="false"/>
    <row r="3988" customFormat="false" ht="15" hidden="false" customHeight="false" outlineLevel="0" collapsed="false"/>
    <row r="3989" customFormat="false" ht="15" hidden="false" customHeight="false" outlineLevel="0" collapsed="false"/>
    <row r="3990" customFormat="false" ht="15" hidden="false" customHeight="false" outlineLevel="0" collapsed="false"/>
    <row r="3991" customFormat="false" ht="15" hidden="false" customHeight="false" outlineLevel="0" collapsed="false"/>
    <row r="3992" customFormat="false" ht="15" hidden="false" customHeight="false" outlineLevel="0" collapsed="false"/>
    <row r="3993" customFormat="false" ht="15" hidden="false" customHeight="false" outlineLevel="0" collapsed="false"/>
    <row r="3994" customFormat="false" ht="15" hidden="false" customHeight="false" outlineLevel="0" collapsed="false"/>
    <row r="3995" customFormat="false" ht="15" hidden="false" customHeight="false" outlineLevel="0" collapsed="false"/>
    <row r="3996" customFormat="false" ht="15" hidden="false" customHeight="false" outlineLevel="0" collapsed="false"/>
    <row r="3997" customFormat="false" ht="15" hidden="false" customHeight="false" outlineLevel="0" collapsed="false"/>
    <row r="3998" customFormat="false" ht="15" hidden="false" customHeight="false" outlineLevel="0" collapsed="false"/>
    <row r="3999" customFormat="false" ht="15" hidden="false" customHeight="false" outlineLevel="0" collapsed="false"/>
    <row r="4000" customFormat="false" ht="15" hidden="false" customHeight="false" outlineLevel="0" collapsed="false"/>
    <row r="4001" customFormat="false" ht="15" hidden="false" customHeight="false" outlineLevel="0" collapsed="false"/>
    <row r="4002" customFormat="false" ht="15" hidden="false" customHeight="false" outlineLevel="0" collapsed="false"/>
    <row r="4003" customFormat="false" ht="15" hidden="false" customHeight="false" outlineLevel="0" collapsed="false"/>
    <row r="4004" customFormat="false" ht="15" hidden="false" customHeight="false" outlineLevel="0" collapsed="false"/>
    <row r="4005" customFormat="false" ht="15" hidden="false" customHeight="false" outlineLevel="0" collapsed="false"/>
    <row r="4006" customFormat="false" ht="15" hidden="false" customHeight="false" outlineLevel="0" collapsed="false"/>
    <row r="4007" customFormat="false" ht="15" hidden="false" customHeight="false" outlineLevel="0" collapsed="false"/>
    <row r="4008" customFormat="false" ht="15" hidden="false" customHeight="false" outlineLevel="0" collapsed="false"/>
    <row r="4009" customFormat="false" ht="15" hidden="false" customHeight="false" outlineLevel="0" collapsed="false"/>
    <row r="4010" customFormat="false" ht="15" hidden="false" customHeight="false" outlineLevel="0" collapsed="false"/>
    <row r="4011" customFormat="false" ht="15" hidden="false" customHeight="false" outlineLevel="0" collapsed="false"/>
    <row r="4012" customFormat="false" ht="15" hidden="false" customHeight="false" outlineLevel="0" collapsed="false"/>
    <row r="4013" customFormat="false" ht="15" hidden="false" customHeight="false" outlineLevel="0" collapsed="false"/>
    <row r="4014" customFormat="false" ht="15" hidden="false" customHeight="false" outlineLevel="0" collapsed="false"/>
    <row r="4015" customFormat="false" ht="15" hidden="false" customHeight="false" outlineLevel="0" collapsed="false"/>
    <row r="4016" customFormat="false" ht="15" hidden="false" customHeight="false" outlineLevel="0" collapsed="false"/>
    <row r="4017" customFormat="false" ht="15" hidden="false" customHeight="false" outlineLevel="0" collapsed="false"/>
    <row r="4018" customFormat="false" ht="15" hidden="false" customHeight="false" outlineLevel="0" collapsed="false"/>
    <row r="4019" customFormat="false" ht="15" hidden="false" customHeight="false" outlineLevel="0" collapsed="false"/>
    <row r="4020" customFormat="false" ht="15" hidden="false" customHeight="false" outlineLevel="0" collapsed="false"/>
    <row r="4021" customFormat="false" ht="15" hidden="false" customHeight="false" outlineLevel="0" collapsed="false"/>
    <row r="4022" customFormat="false" ht="15" hidden="false" customHeight="false" outlineLevel="0" collapsed="false"/>
    <row r="4023" customFormat="false" ht="15" hidden="false" customHeight="false" outlineLevel="0" collapsed="false"/>
    <row r="4024" customFormat="false" ht="15" hidden="false" customHeight="false" outlineLevel="0" collapsed="false"/>
    <row r="4025" customFormat="false" ht="15" hidden="false" customHeight="false" outlineLevel="0" collapsed="false"/>
    <row r="4026" customFormat="false" ht="15" hidden="false" customHeight="false" outlineLevel="0" collapsed="false"/>
    <row r="4027" customFormat="false" ht="15" hidden="false" customHeight="false" outlineLevel="0" collapsed="false"/>
    <row r="4028" customFormat="false" ht="15" hidden="false" customHeight="false" outlineLevel="0" collapsed="false"/>
    <row r="4029" customFormat="false" ht="15" hidden="false" customHeight="false" outlineLevel="0" collapsed="false"/>
    <row r="4030" customFormat="false" ht="15" hidden="false" customHeight="false" outlineLevel="0" collapsed="false"/>
    <row r="4031" customFormat="false" ht="15" hidden="false" customHeight="false" outlineLevel="0" collapsed="false"/>
    <row r="4032" customFormat="false" ht="15" hidden="false" customHeight="false" outlineLevel="0" collapsed="false"/>
    <row r="4033" customFormat="false" ht="15" hidden="false" customHeight="false" outlineLevel="0" collapsed="false"/>
    <row r="4034" customFormat="false" ht="15" hidden="false" customHeight="false" outlineLevel="0" collapsed="false"/>
    <row r="4035" customFormat="false" ht="15" hidden="false" customHeight="false" outlineLevel="0" collapsed="false"/>
    <row r="4036" customFormat="false" ht="15" hidden="false" customHeight="false" outlineLevel="0" collapsed="false"/>
    <row r="4037" customFormat="false" ht="15" hidden="false" customHeight="false" outlineLevel="0" collapsed="false"/>
    <row r="4038" customFormat="false" ht="15" hidden="false" customHeight="false" outlineLevel="0" collapsed="false"/>
    <row r="4039" customFormat="false" ht="15" hidden="false" customHeight="false" outlineLevel="0" collapsed="false"/>
    <row r="4040" customFormat="false" ht="15" hidden="false" customHeight="false" outlineLevel="0" collapsed="false"/>
    <row r="4041" customFormat="false" ht="15" hidden="false" customHeight="false" outlineLevel="0" collapsed="false"/>
    <row r="4042" customFormat="false" ht="15" hidden="false" customHeight="false" outlineLevel="0" collapsed="false"/>
    <row r="4043" customFormat="false" ht="15" hidden="false" customHeight="false" outlineLevel="0" collapsed="false"/>
    <row r="4044" customFormat="false" ht="15" hidden="false" customHeight="false" outlineLevel="0" collapsed="false"/>
    <row r="4045" customFormat="false" ht="15" hidden="false" customHeight="false" outlineLevel="0" collapsed="false"/>
    <row r="4046" customFormat="false" ht="15" hidden="false" customHeight="false" outlineLevel="0" collapsed="false"/>
    <row r="4047" customFormat="false" ht="15" hidden="false" customHeight="false" outlineLevel="0" collapsed="false"/>
    <row r="4048" customFormat="false" ht="15" hidden="false" customHeight="false" outlineLevel="0" collapsed="false"/>
    <row r="4049" customFormat="false" ht="15" hidden="false" customHeight="false" outlineLevel="0" collapsed="false"/>
    <row r="4050" customFormat="false" ht="15" hidden="false" customHeight="false" outlineLevel="0" collapsed="false"/>
    <row r="4051" customFormat="false" ht="15" hidden="false" customHeight="false" outlineLevel="0" collapsed="false"/>
    <row r="4052" customFormat="false" ht="15" hidden="false" customHeight="false" outlineLevel="0" collapsed="false"/>
    <row r="4053" customFormat="false" ht="15" hidden="false" customHeight="false" outlineLevel="0" collapsed="false"/>
    <row r="4054" customFormat="false" ht="15" hidden="false" customHeight="false" outlineLevel="0" collapsed="false"/>
    <row r="4055" customFormat="false" ht="15" hidden="false" customHeight="false" outlineLevel="0" collapsed="false"/>
    <row r="4056" customFormat="false" ht="15" hidden="false" customHeight="false" outlineLevel="0" collapsed="false"/>
    <row r="4057" customFormat="false" ht="15" hidden="false" customHeight="false" outlineLevel="0" collapsed="false"/>
    <row r="4058" customFormat="false" ht="15" hidden="false" customHeight="false" outlineLevel="0" collapsed="false"/>
    <row r="4059" customFormat="false" ht="15" hidden="false" customHeight="false" outlineLevel="0" collapsed="false"/>
    <row r="4060" customFormat="false" ht="15" hidden="false" customHeight="false" outlineLevel="0" collapsed="false"/>
    <row r="4061" customFormat="false" ht="15" hidden="false" customHeight="false" outlineLevel="0" collapsed="false"/>
    <row r="4062" customFormat="false" ht="15" hidden="false" customHeight="false" outlineLevel="0" collapsed="false"/>
    <row r="4063" customFormat="false" ht="15" hidden="false" customHeight="false" outlineLevel="0" collapsed="false"/>
    <row r="4064" customFormat="false" ht="15" hidden="false" customHeight="false" outlineLevel="0" collapsed="false"/>
    <row r="4065" customFormat="false" ht="15" hidden="false" customHeight="false" outlineLevel="0" collapsed="false"/>
    <row r="4066" customFormat="false" ht="15" hidden="false" customHeight="false" outlineLevel="0" collapsed="false"/>
    <row r="4067" customFormat="false" ht="15" hidden="false" customHeight="false" outlineLevel="0" collapsed="false"/>
    <row r="4068" customFormat="false" ht="15" hidden="false" customHeight="false" outlineLevel="0" collapsed="false"/>
    <row r="4069" customFormat="false" ht="15" hidden="false" customHeight="false" outlineLevel="0" collapsed="false"/>
    <row r="4070" customFormat="false" ht="15" hidden="false" customHeight="false" outlineLevel="0" collapsed="false"/>
    <row r="4071" customFormat="false" ht="15" hidden="false" customHeight="false" outlineLevel="0" collapsed="false"/>
    <row r="4072" customFormat="false" ht="15" hidden="false" customHeight="false" outlineLevel="0" collapsed="false"/>
    <row r="4073" customFormat="false" ht="15" hidden="false" customHeight="false" outlineLevel="0" collapsed="false"/>
    <row r="4074" customFormat="false" ht="15" hidden="false" customHeight="false" outlineLevel="0" collapsed="false"/>
    <row r="4075" customFormat="false" ht="15" hidden="false" customHeight="false" outlineLevel="0" collapsed="false"/>
    <row r="4076" customFormat="false" ht="15" hidden="false" customHeight="false" outlineLevel="0" collapsed="false"/>
    <row r="4077" customFormat="false" ht="15" hidden="false" customHeight="false" outlineLevel="0" collapsed="false"/>
    <row r="4078" customFormat="false" ht="15" hidden="false" customHeight="false" outlineLevel="0" collapsed="false"/>
    <row r="4079" customFormat="false" ht="15" hidden="false" customHeight="false" outlineLevel="0" collapsed="false"/>
    <row r="4080" customFormat="false" ht="15" hidden="false" customHeight="false" outlineLevel="0" collapsed="false"/>
    <row r="4081" customFormat="false" ht="15" hidden="false" customHeight="false" outlineLevel="0" collapsed="false"/>
    <row r="4082" customFormat="false" ht="15" hidden="false" customHeight="false" outlineLevel="0" collapsed="false"/>
    <row r="4083" customFormat="false" ht="15" hidden="false" customHeight="false" outlineLevel="0" collapsed="false"/>
    <row r="4084" customFormat="false" ht="15" hidden="false" customHeight="false" outlineLevel="0" collapsed="false"/>
    <row r="4085" customFormat="false" ht="15" hidden="false" customHeight="false" outlineLevel="0" collapsed="false"/>
    <row r="4086" customFormat="false" ht="15" hidden="false" customHeight="false" outlineLevel="0" collapsed="false"/>
    <row r="4087" customFormat="false" ht="15" hidden="false" customHeight="false" outlineLevel="0" collapsed="false"/>
    <row r="4088" customFormat="false" ht="15" hidden="false" customHeight="false" outlineLevel="0" collapsed="false"/>
    <row r="4089" customFormat="false" ht="15" hidden="false" customHeight="false" outlineLevel="0" collapsed="false"/>
    <row r="4090" customFormat="false" ht="15" hidden="false" customHeight="false" outlineLevel="0" collapsed="false"/>
    <row r="4091" customFormat="false" ht="15" hidden="false" customHeight="false" outlineLevel="0" collapsed="false"/>
    <row r="4092" customFormat="false" ht="15" hidden="false" customHeight="false" outlineLevel="0" collapsed="false"/>
    <row r="4093" customFormat="false" ht="15" hidden="false" customHeight="false" outlineLevel="0" collapsed="false"/>
    <row r="4094" customFormat="false" ht="15" hidden="false" customHeight="false" outlineLevel="0" collapsed="false"/>
    <row r="4095" customFormat="false" ht="15" hidden="false" customHeight="false" outlineLevel="0" collapsed="false"/>
    <row r="4096" customFormat="false" ht="15" hidden="false" customHeight="false" outlineLevel="0" collapsed="false"/>
    <row r="4097" customFormat="false" ht="15" hidden="false" customHeight="false" outlineLevel="0" collapsed="false"/>
    <row r="4098" customFormat="false" ht="15" hidden="false" customHeight="false" outlineLevel="0" collapsed="false"/>
    <row r="4099" customFormat="false" ht="15" hidden="false" customHeight="false" outlineLevel="0" collapsed="false"/>
    <row r="4100" customFormat="false" ht="15" hidden="false" customHeight="false" outlineLevel="0" collapsed="false"/>
    <row r="4101" customFormat="false" ht="15" hidden="false" customHeight="false" outlineLevel="0" collapsed="false"/>
    <row r="4102" customFormat="false" ht="15" hidden="false" customHeight="false" outlineLevel="0" collapsed="false"/>
    <row r="4103" customFormat="false" ht="15" hidden="false" customHeight="false" outlineLevel="0" collapsed="false"/>
    <row r="4104" customFormat="false" ht="15" hidden="false" customHeight="false" outlineLevel="0" collapsed="false"/>
    <row r="4105" customFormat="false" ht="15" hidden="false" customHeight="false" outlineLevel="0" collapsed="false"/>
    <row r="4106" customFormat="false" ht="15" hidden="false" customHeight="false" outlineLevel="0" collapsed="false"/>
    <row r="4107" customFormat="false" ht="15" hidden="false" customHeight="false" outlineLevel="0" collapsed="false"/>
    <row r="4108" customFormat="false" ht="15" hidden="false" customHeight="false" outlineLevel="0" collapsed="false"/>
    <row r="4109" customFormat="false" ht="15" hidden="false" customHeight="false" outlineLevel="0" collapsed="false"/>
    <row r="4110" customFormat="false" ht="15" hidden="false" customHeight="false" outlineLevel="0" collapsed="false"/>
    <row r="4111" customFormat="false" ht="15" hidden="false" customHeight="false" outlineLevel="0" collapsed="false"/>
    <row r="4112" customFormat="false" ht="15" hidden="false" customHeight="false" outlineLevel="0" collapsed="false"/>
    <row r="4113" customFormat="false" ht="15" hidden="false" customHeight="false" outlineLevel="0" collapsed="false"/>
    <row r="4114" customFormat="false" ht="15" hidden="false" customHeight="false" outlineLevel="0" collapsed="false"/>
    <row r="4115" customFormat="false" ht="15" hidden="false" customHeight="false" outlineLevel="0" collapsed="false"/>
    <row r="4116" customFormat="false" ht="15" hidden="false" customHeight="false" outlineLevel="0" collapsed="false"/>
    <row r="4117" customFormat="false" ht="15" hidden="false" customHeight="false" outlineLevel="0" collapsed="false"/>
    <row r="4118" customFormat="false" ht="15" hidden="false" customHeight="false" outlineLevel="0" collapsed="false"/>
    <row r="4119" customFormat="false" ht="15" hidden="false" customHeight="false" outlineLevel="0" collapsed="false"/>
    <row r="4120" customFormat="false" ht="15" hidden="false" customHeight="false" outlineLevel="0" collapsed="false"/>
    <row r="4121" customFormat="false" ht="15" hidden="false" customHeight="false" outlineLevel="0" collapsed="false"/>
    <row r="4122" customFormat="false" ht="15" hidden="false" customHeight="false" outlineLevel="0" collapsed="false"/>
    <row r="4123" customFormat="false" ht="15" hidden="false" customHeight="false" outlineLevel="0" collapsed="false"/>
    <row r="4124" customFormat="false" ht="15" hidden="false" customHeight="false" outlineLevel="0" collapsed="false"/>
    <row r="4125" customFormat="false" ht="15" hidden="false" customHeight="false" outlineLevel="0" collapsed="false"/>
    <row r="4126" customFormat="false" ht="15" hidden="false" customHeight="false" outlineLevel="0" collapsed="false"/>
    <row r="4127" customFormat="false" ht="15" hidden="false" customHeight="false" outlineLevel="0" collapsed="false"/>
    <row r="4128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104857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9" activeCellId="0" sqref="C9"/>
    </sheetView>
  </sheetViews>
  <sheetFormatPr defaultColWidth="9.3359375" defaultRowHeight="12.75" customHeight="true" zeroHeight="false" outlineLevelRow="0" outlineLevelCol="0"/>
  <cols>
    <col collapsed="false" customWidth="true" hidden="false" outlineLevel="0" max="1" min="1" style="1" width="19.33"/>
    <col collapsed="false" customWidth="true" hidden="false" outlineLevel="0" max="3" min="2" style="1" width="11.33"/>
    <col collapsed="false" customWidth="true" hidden="false" outlineLevel="0" max="4" min="4" style="1" width="14.33"/>
    <col collapsed="false" customWidth="true" hidden="false" outlineLevel="0" max="5" min="5" style="1" width="12.5"/>
    <col collapsed="false" customWidth="true" hidden="false" outlineLevel="0" max="6" min="6" style="1" width="11.33"/>
    <col collapsed="false" customWidth="true" hidden="false" outlineLevel="0" max="7" min="7" style="1" width="13.16"/>
    <col collapsed="false" customWidth="true" hidden="false" outlineLevel="0" max="9" min="8" style="1" width="16"/>
    <col collapsed="false" customWidth="true" hidden="false" outlineLevel="0" max="11" min="10" style="1" width="15.66"/>
    <col collapsed="false" customWidth="true" hidden="false" outlineLevel="0" max="12" min="12" style="1" width="12.33"/>
    <col collapsed="false" customWidth="true" hidden="false" outlineLevel="0" max="49" min="13" style="1" width="11.33"/>
    <col collapsed="false" customWidth="true" hidden="false" outlineLevel="0" max="305" min="50" style="2" width="8.67"/>
  </cols>
  <sheetData>
    <row r="1" customFormat="false" ht="13.8" hidden="false" customHeight="false" outlineLevel="0" collapsed="false">
      <c r="A1" s="3" t="s">
        <v>0</v>
      </c>
      <c r="B1" s="4" t="n">
        <v>50000</v>
      </c>
      <c r="C1" s="4"/>
      <c r="D1" s="4" t="s">
        <v>1</v>
      </c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customFormat="false" ht="13.8" hidden="false" customHeight="false" outlineLevel="0" collapsed="false">
      <c r="A2" s="5" t="s">
        <v>2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customFormat="false" ht="13.8" hidden="false" customHeight="false" outlineLevel="0" collapsed="false">
      <c r="A3" s="6" t="s">
        <v>3</v>
      </c>
      <c r="B3" s="4" t="n">
        <v>11</v>
      </c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customFormat="false" ht="13.8" hidden="false" customHeight="false" outlineLevel="0" collapsed="false">
      <c r="A4" s="4" t="s">
        <v>4</v>
      </c>
      <c r="B4" s="4" t="n">
        <f aca="false">B3/12*52</f>
        <v>47.6666666666667</v>
      </c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customFormat="false" ht="13.8" hidden="false" customHeight="false" outlineLevel="0" collapsed="false">
      <c r="A5" s="4" t="s">
        <v>6</v>
      </c>
      <c r="B5" s="4" t="n">
        <v>48</v>
      </c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customFormat="false" ht="13.8" hidden="false" customHeight="false" outlineLevel="0" collapsed="false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customFormat="false" ht="13.8" hidden="false" customHeight="false" outlineLevel="0" collapsed="false">
      <c r="A7" s="4"/>
      <c r="B7" s="4"/>
      <c r="C7" s="4"/>
      <c r="D7" s="4"/>
      <c r="E7" s="4"/>
      <c r="F7" s="4"/>
      <c r="G7" s="2"/>
      <c r="H7" s="2"/>
      <c r="I7" s="2"/>
      <c r="J7" s="2"/>
      <c r="K7" s="2"/>
      <c r="L7" s="7" t="s">
        <v>7</v>
      </c>
      <c r="M7" s="2"/>
      <c r="N7" s="2"/>
      <c r="O7" s="8" t="s">
        <v>8</v>
      </c>
      <c r="P7" s="9" t="s">
        <v>9</v>
      </c>
      <c r="Q7" s="2"/>
      <c r="R7" s="8" t="s">
        <v>10</v>
      </c>
      <c r="S7" s="9" t="s">
        <v>11</v>
      </c>
      <c r="T7" s="2"/>
      <c r="U7" s="8" t="s">
        <v>12</v>
      </c>
      <c r="V7" s="9" t="s">
        <v>13</v>
      </c>
      <c r="W7" s="2"/>
      <c r="X7" s="8" t="s">
        <v>14</v>
      </c>
      <c r="Y7" s="9" t="s">
        <v>15</v>
      </c>
      <c r="Z7" s="2"/>
      <c r="AA7" s="8" t="s">
        <v>16</v>
      </c>
      <c r="AB7" s="9" t="s">
        <v>17</v>
      </c>
      <c r="AC7" s="2"/>
      <c r="AD7" s="8" t="s">
        <v>18</v>
      </c>
      <c r="AE7" s="9" t="s">
        <v>19</v>
      </c>
      <c r="AF7" s="2"/>
      <c r="AG7" s="8" t="s">
        <v>20</v>
      </c>
      <c r="AH7" s="9" t="s">
        <v>19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customFormat="false" ht="13.8" hidden="false" customHeight="false" outlineLevel="0" collapsed="false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/>
      <c r="J8" s="3" t="s">
        <v>29</v>
      </c>
      <c r="K8" s="3" t="s">
        <v>30</v>
      </c>
      <c r="L8" s="7" t="s">
        <v>31</v>
      </c>
      <c r="M8" s="7" t="s">
        <v>32</v>
      </c>
      <c r="N8" s="2" t="s">
        <v>33</v>
      </c>
      <c r="O8" s="2" t="s">
        <v>34</v>
      </c>
      <c r="P8" s="10" t="s">
        <v>35</v>
      </c>
      <c r="Q8" s="7" t="s">
        <v>36</v>
      </c>
      <c r="R8" s="7" t="s">
        <v>37</v>
      </c>
      <c r="S8" s="11" t="s">
        <v>38</v>
      </c>
      <c r="T8" s="2"/>
      <c r="U8" s="10" t="s">
        <v>35</v>
      </c>
      <c r="V8" s="7" t="s">
        <v>36</v>
      </c>
      <c r="W8" s="7" t="s">
        <v>37</v>
      </c>
      <c r="X8" s="11" t="s">
        <v>38</v>
      </c>
      <c r="Y8" s="2"/>
      <c r="Z8" s="10" t="s">
        <v>35</v>
      </c>
      <c r="AA8" s="7" t="s">
        <v>36</v>
      </c>
      <c r="AB8" s="7" t="s">
        <v>37</v>
      </c>
      <c r="AC8" s="11" t="s">
        <v>38</v>
      </c>
      <c r="AD8" s="2"/>
      <c r="AE8" s="10" t="s">
        <v>35</v>
      </c>
      <c r="AF8" s="7" t="s">
        <v>36</v>
      </c>
      <c r="AG8" s="7" t="s">
        <v>37</v>
      </c>
      <c r="AH8" s="11" t="s">
        <v>38</v>
      </c>
      <c r="AI8" s="2"/>
      <c r="AJ8" s="10" t="s">
        <v>35</v>
      </c>
      <c r="AK8" s="7" t="s">
        <v>36</v>
      </c>
      <c r="AL8" s="7" t="s">
        <v>37</v>
      </c>
      <c r="AM8" s="11" t="s">
        <v>38</v>
      </c>
      <c r="AN8" s="2"/>
      <c r="AO8" s="10" t="s">
        <v>35</v>
      </c>
      <c r="AP8" s="7" t="s">
        <v>36</v>
      </c>
      <c r="AQ8" s="7" t="s">
        <v>37</v>
      </c>
      <c r="AR8" s="11" t="s">
        <v>38</v>
      </c>
      <c r="AS8" s="2"/>
      <c r="AT8" s="10" t="s">
        <v>35</v>
      </c>
      <c r="AU8" s="7" t="s">
        <v>36</v>
      </c>
      <c r="AV8" s="7" t="s">
        <v>37</v>
      </c>
      <c r="AW8" s="11" t="s">
        <v>38</v>
      </c>
    </row>
    <row r="9" customFormat="false" ht="13.8" hidden="false" customHeight="false" outlineLevel="0" collapsed="false">
      <c r="A9" s="12" t="s">
        <v>39</v>
      </c>
      <c r="B9" s="13" t="n">
        <v>30</v>
      </c>
      <c r="C9" s="13" t="n">
        <v>10</v>
      </c>
      <c r="D9" s="14" t="n">
        <f aca="false">B9*C9/100</f>
        <v>3</v>
      </c>
      <c r="E9" s="15" t="n">
        <f aca="false">$B$1*C9/100</f>
        <v>5000</v>
      </c>
      <c r="F9" s="15" t="n">
        <v>0</v>
      </c>
      <c r="G9" s="15" t="n">
        <f aca="false">E9-F9</f>
        <v>5000</v>
      </c>
      <c r="H9" s="15" t="n">
        <f aca="false">G9/($B$4)*2</f>
        <v>209.79020979021</v>
      </c>
      <c r="I9" s="15" t="n">
        <f aca="false">J9/2</f>
        <v>227.272727272727</v>
      </c>
      <c r="J9" s="15" t="n">
        <f aca="false">G9/($B$3)</f>
        <v>454.545454545455</v>
      </c>
      <c r="K9" s="15" t="n">
        <f aca="false">F9+H9/2*$B$5</f>
        <v>5034.96503496504</v>
      </c>
      <c r="L9" s="16" t="n">
        <f aca="false">(H9/2)*(1+B9/100/52)^(52-$B$4)*( ( (1+B9/100/52)^$B$4-1) / (B9/100/52) ) + F9*(1+B9/100/52)^(52)</f>
        <v>5880.98491189135</v>
      </c>
      <c r="M9" s="16" t="n">
        <f aca="false">J9*(1+B9/100/12)^(12-$B$3)*(((1+B9/100/12)^$B$3-1)/(B9/100/12)) + F9*(1+B9/100/12)^(12)</f>
        <v>5816.16044084177</v>
      </c>
      <c r="N9" s="2" t="n">
        <v>0</v>
      </c>
      <c r="O9" s="16" t="n">
        <f aca="false">N9*H9</f>
        <v>0</v>
      </c>
      <c r="P9" s="17" t="n">
        <v>50</v>
      </c>
      <c r="Q9" s="13" t="n">
        <f aca="false">C9*P9/100</f>
        <v>5</v>
      </c>
      <c r="R9" s="16" t="n">
        <f aca="false">K9*P9/100</f>
        <v>2517.48251748252</v>
      </c>
      <c r="S9" s="18" t="n">
        <f aca="false">$E9*P9/100</f>
        <v>2500</v>
      </c>
      <c r="T9" s="2"/>
      <c r="U9" s="17" t="n">
        <v>0</v>
      </c>
      <c r="V9" s="13" t="n">
        <f aca="false">C9*U9/100</f>
        <v>0</v>
      </c>
      <c r="W9" s="16" t="n">
        <f aca="false">K9*U9/100</f>
        <v>0</v>
      </c>
      <c r="X9" s="18" t="n">
        <f aca="false">$E9*U9/100</f>
        <v>0</v>
      </c>
      <c r="Y9" s="2"/>
      <c r="Z9" s="17" t="n">
        <v>0</v>
      </c>
      <c r="AA9" s="13" t="n">
        <f aca="false">C9*Z9/100</f>
        <v>0</v>
      </c>
      <c r="AB9" s="16" t="n">
        <f aca="false">K9*Z9/100</f>
        <v>0</v>
      </c>
      <c r="AC9" s="18" t="n">
        <f aca="false">$E9*Z9/100</f>
        <v>0</v>
      </c>
      <c r="AD9" s="2"/>
      <c r="AE9" s="19" t="n">
        <v>6.7</v>
      </c>
      <c r="AF9" s="13" t="n">
        <f aca="false">$C9*AE9/100</f>
        <v>0.67</v>
      </c>
      <c r="AG9" s="16" t="n">
        <f aca="false">$K9*AE9/100</f>
        <v>337.342657342657</v>
      </c>
      <c r="AH9" s="18" t="n">
        <f aca="false">$E9*AE9/100</f>
        <v>335</v>
      </c>
      <c r="AI9" s="2"/>
      <c r="AJ9" s="19" t="n">
        <v>0</v>
      </c>
      <c r="AK9" s="13" t="n">
        <f aca="false">$C9*AJ9/100</f>
        <v>0</v>
      </c>
      <c r="AL9" s="16" t="n">
        <f aca="false">$K9*AJ9/100</f>
        <v>0</v>
      </c>
      <c r="AM9" s="18" t="n">
        <f aca="false">$E9*AJ9/100</f>
        <v>0</v>
      </c>
      <c r="AN9" s="2"/>
      <c r="AO9" s="19" t="n">
        <v>20</v>
      </c>
      <c r="AP9" s="13" t="n">
        <f aca="false">$C9*AO9/100</f>
        <v>2</v>
      </c>
      <c r="AQ9" s="16" t="n">
        <f aca="false">$K9*AO9/100</f>
        <v>1006.99300699301</v>
      </c>
      <c r="AR9" s="18" t="n">
        <f aca="false">$E9*AO9/100</f>
        <v>1000</v>
      </c>
      <c r="AS9" s="2"/>
      <c r="AT9" s="19" t="n">
        <v>0</v>
      </c>
      <c r="AU9" s="13" t="n">
        <f aca="false">$C9*AT9/100</f>
        <v>0</v>
      </c>
      <c r="AV9" s="16" t="n">
        <f aca="false">$K9*AT9/100</f>
        <v>0</v>
      </c>
      <c r="AW9" s="18" t="n">
        <f aca="false">$E9*AT9/100</f>
        <v>0</v>
      </c>
    </row>
    <row r="10" customFormat="false" ht="13.8" hidden="false" customHeight="false" outlineLevel="0" collapsed="false">
      <c r="A10" s="12" t="s">
        <v>40</v>
      </c>
      <c r="B10" s="13" t="n">
        <v>20</v>
      </c>
      <c r="C10" s="13" t="n">
        <v>10</v>
      </c>
      <c r="D10" s="14" t="n">
        <f aca="false">B10*C10/100</f>
        <v>2</v>
      </c>
      <c r="E10" s="15" t="n">
        <f aca="false">$B$1*C10/100</f>
        <v>5000</v>
      </c>
      <c r="F10" s="15" t="n">
        <v>0</v>
      </c>
      <c r="G10" s="15" t="n">
        <f aca="false">E10-F10</f>
        <v>5000</v>
      </c>
      <c r="H10" s="15" t="n">
        <f aca="false">G10/($B$4)*2</f>
        <v>209.79020979021</v>
      </c>
      <c r="I10" s="15" t="n">
        <f aca="false">J10/2</f>
        <v>227.272727272727</v>
      </c>
      <c r="J10" s="15" t="n">
        <f aca="false">G10/($B$3)</f>
        <v>454.545454545455</v>
      </c>
      <c r="K10" s="15" t="n">
        <f aca="false">F10+H10/2*$B$5</f>
        <v>5034.96503496504</v>
      </c>
      <c r="L10" s="16" t="n">
        <f aca="false">(H10/2)*(1+B10/100/52)^(52-$B$4)*( ( (1+B10/100/52)^$B$4-1) / (B10/100/52) ) + F10*(1+B10/100/52)^(52)</f>
        <v>5568.01239622796</v>
      </c>
      <c r="M10" s="16" t="n">
        <f aca="false">J10*(1+B10/100/12)^(12-$B$3)*(((1+B10/100/12)^$B$3-1)/(B10/100/12)) + F10*(1+B10/100/12)^(12)</f>
        <v>5528.84777014268</v>
      </c>
      <c r="N10" s="2" t="n">
        <v>0</v>
      </c>
      <c r="O10" s="16" t="n">
        <f aca="false">N10*H10</f>
        <v>0</v>
      </c>
      <c r="P10" s="17" t="n">
        <v>30</v>
      </c>
      <c r="Q10" s="13" t="n">
        <f aca="false">C10*P10/100</f>
        <v>3</v>
      </c>
      <c r="R10" s="16" t="n">
        <f aca="false">K10*P10/100</f>
        <v>1510.48951048951</v>
      </c>
      <c r="S10" s="18" t="n">
        <f aca="false">$E10*P10/100</f>
        <v>1500</v>
      </c>
      <c r="T10" s="2"/>
      <c r="U10" s="17" t="n">
        <v>2.9</v>
      </c>
      <c r="V10" s="13" t="n">
        <f aca="false">C10*U10/100</f>
        <v>0.29</v>
      </c>
      <c r="W10" s="20" t="n">
        <f aca="false">K10*U10/100</f>
        <v>146.013986013986</v>
      </c>
      <c r="X10" s="21" t="n">
        <f aca="false">$E10*U10/100</f>
        <v>145</v>
      </c>
      <c r="Y10" s="2"/>
      <c r="Z10" s="17" t="n">
        <v>0.1</v>
      </c>
      <c r="AA10" s="13" t="n">
        <f aca="false">C10*Z10/100</f>
        <v>0.01</v>
      </c>
      <c r="AB10" s="20" t="n">
        <f aca="false">K10*Z10/100</f>
        <v>5.03496503496504</v>
      </c>
      <c r="AC10" s="21" t="n">
        <f aca="false">$E10*Z10/100</f>
        <v>5</v>
      </c>
      <c r="AD10" s="2"/>
      <c r="AE10" s="19" t="n">
        <v>14.6</v>
      </c>
      <c r="AF10" s="13" t="n">
        <f aca="false">$C10*AE10/100</f>
        <v>1.46</v>
      </c>
      <c r="AG10" s="22" t="n">
        <f aca="false">$K10*AE10/100</f>
        <v>735.104895104895</v>
      </c>
      <c r="AH10" s="23" t="n">
        <f aca="false">$E10*AE10/100</f>
        <v>730</v>
      </c>
      <c r="AI10" s="2"/>
      <c r="AJ10" s="19" t="n">
        <v>12.7</v>
      </c>
      <c r="AK10" s="13" t="n">
        <f aca="false">$C10*AJ10/100</f>
        <v>1.27</v>
      </c>
      <c r="AL10" s="22" t="n">
        <f aca="false">$K10*AJ10/100</f>
        <v>639.440559440559</v>
      </c>
      <c r="AM10" s="23" t="n">
        <f aca="false">$E10*AJ10/100</f>
        <v>635</v>
      </c>
      <c r="AN10" s="2"/>
      <c r="AO10" s="19" t="n">
        <v>0</v>
      </c>
      <c r="AP10" s="13" t="n">
        <f aca="false">$C10*AO10/100</f>
        <v>0</v>
      </c>
      <c r="AQ10" s="20" t="n">
        <f aca="false">$K10*AO10/100</f>
        <v>0</v>
      </c>
      <c r="AR10" s="21" t="n">
        <f aca="false">$E10*AO10/100</f>
        <v>0</v>
      </c>
      <c r="AS10" s="2"/>
      <c r="AT10" s="19" t="n">
        <v>0</v>
      </c>
      <c r="AU10" s="13" t="n">
        <f aca="false">$C10*AT10/100</f>
        <v>0</v>
      </c>
      <c r="AV10" s="20" t="n">
        <f aca="false">$K10*AT10/100</f>
        <v>0</v>
      </c>
      <c r="AW10" s="21" t="n">
        <f aca="false">$E10*AT10/100</f>
        <v>0</v>
      </c>
    </row>
    <row r="11" customFormat="false" ht="13.8" hidden="false" customHeight="false" outlineLevel="0" collapsed="false">
      <c r="A11" s="12" t="s">
        <v>41</v>
      </c>
      <c r="B11" s="13" t="n">
        <v>30</v>
      </c>
      <c r="C11" s="13" t="n">
        <v>15</v>
      </c>
      <c r="D11" s="14" t="n">
        <f aca="false">B11*C11/100</f>
        <v>4.5</v>
      </c>
      <c r="E11" s="15" t="n">
        <f aca="false">$B$1*C11/100</f>
        <v>7500</v>
      </c>
      <c r="F11" s="15" t="n">
        <v>0</v>
      </c>
      <c r="G11" s="15" t="n">
        <f aca="false">E11-F11</f>
        <v>7500</v>
      </c>
      <c r="H11" s="15" t="n">
        <f aca="false">G11/($B$4)*2</f>
        <v>314.685314685315</v>
      </c>
      <c r="I11" s="15" t="n">
        <f aca="false">J11/2</f>
        <v>340.909090909091</v>
      </c>
      <c r="J11" s="15" t="n">
        <f aca="false">G11/($B$3)</f>
        <v>681.818181818182</v>
      </c>
      <c r="K11" s="15" t="n">
        <f aca="false">F11+H11/2*$B$5</f>
        <v>7552.44755244755</v>
      </c>
      <c r="L11" s="16" t="n">
        <f aca="false">(H11/2)*(1+B11/100/52)^(52-$B$4)*( ( (1+B11/100/52)^$B$4-1) / (B11/100/52) ) + F11*(1+B11/100/52)^(52)</f>
        <v>8821.47736783702</v>
      </c>
      <c r="M11" s="16" t="n">
        <f aca="false">J11*(1+B11/100/12)^(12-$B$3)*(((1+B11/100/12)^$B$3-1)/(B11/100/12)) + F11*(1+B11/100/12)^(12)</f>
        <v>8724.24066126265</v>
      </c>
      <c r="N11" s="2" t="n">
        <v>0</v>
      </c>
      <c r="O11" s="16" t="n">
        <f aca="false">N11*H11</f>
        <v>0</v>
      </c>
      <c r="P11" s="17" t="n">
        <v>100</v>
      </c>
      <c r="Q11" s="13" t="n">
        <f aca="false">C11*P11/100</f>
        <v>15</v>
      </c>
      <c r="R11" s="16" t="n">
        <f aca="false">K11*P11/100</f>
        <v>7552.44755244755</v>
      </c>
      <c r="S11" s="18" t="n">
        <f aca="false">$E11*P11/100</f>
        <v>7500</v>
      </c>
      <c r="T11" s="2"/>
      <c r="U11" s="17" t="n">
        <v>0</v>
      </c>
      <c r="V11" s="13" t="n">
        <f aca="false">C11*U11/100</f>
        <v>0</v>
      </c>
      <c r="W11" s="16" t="n">
        <f aca="false">K11*U11/100</f>
        <v>0</v>
      </c>
      <c r="X11" s="18" t="n">
        <f aca="false">$E11*U11/100</f>
        <v>0</v>
      </c>
      <c r="Y11" s="2"/>
      <c r="Z11" s="17" t="n">
        <v>0</v>
      </c>
      <c r="AA11" s="13" t="n">
        <f aca="false">C11*Z11/100</f>
        <v>0</v>
      </c>
      <c r="AB11" s="16" t="n">
        <f aca="false">K11*Z11/100</f>
        <v>0</v>
      </c>
      <c r="AC11" s="18" t="n">
        <f aca="false">$E11*Z11/100</f>
        <v>0</v>
      </c>
      <c r="AD11" s="2"/>
      <c r="AE11" s="19" t="n">
        <v>0</v>
      </c>
      <c r="AF11" s="13" t="n">
        <f aca="false">$C11*AE11/100</f>
        <v>0</v>
      </c>
      <c r="AG11" s="16" t="n">
        <f aca="false">$K11*AE11/100</f>
        <v>0</v>
      </c>
      <c r="AH11" s="18" t="n">
        <f aca="false">$E11*AE11/100</f>
        <v>0</v>
      </c>
      <c r="AI11" s="2"/>
      <c r="AJ11" s="19" t="n">
        <v>0</v>
      </c>
      <c r="AK11" s="13" t="n">
        <f aca="false">$C11*AJ11/100</f>
        <v>0</v>
      </c>
      <c r="AL11" s="16" t="n">
        <f aca="false">$K11*AJ11/100</f>
        <v>0</v>
      </c>
      <c r="AM11" s="18" t="n">
        <f aca="false">$E11*AJ11/100</f>
        <v>0</v>
      </c>
      <c r="AN11" s="2"/>
      <c r="AO11" s="19" t="n">
        <v>0</v>
      </c>
      <c r="AP11" s="13" t="n">
        <f aca="false">$C11*AO11/100</f>
        <v>0</v>
      </c>
      <c r="AQ11" s="16" t="n">
        <f aca="false">$K11*AO11/100</f>
        <v>0</v>
      </c>
      <c r="AR11" s="18" t="n">
        <f aca="false">$E11*AO11/100</f>
        <v>0</v>
      </c>
      <c r="AS11" s="2"/>
      <c r="AT11" s="19" t="n">
        <v>0</v>
      </c>
      <c r="AU11" s="13" t="n">
        <f aca="false">$C11*AT11/100</f>
        <v>0</v>
      </c>
      <c r="AV11" s="16" t="n">
        <f aca="false">$K11*AT11/100</f>
        <v>0</v>
      </c>
      <c r="AW11" s="18" t="n">
        <f aca="false">$E11*AT11/100</f>
        <v>0</v>
      </c>
    </row>
    <row r="12" customFormat="false" ht="13.8" hidden="false" customHeight="false" outlineLevel="0" collapsed="false">
      <c r="A12" s="12" t="s">
        <v>42</v>
      </c>
      <c r="B12" s="13" t="n">
        <v>15</v>
      </c>
      <c r="C12" s="13" t="n">
        <v>10</v>
      </c>
      <c r="D12" s="14" t="n">
        <f aca="false">B12*C12/100</f>
        <v>1.5</v>
      </c>
      <c r="E12" s="15" t="n">
        <f aca="false">$B$1*C12/100</f>
        <v>5000</v>
      </c>
      <c r="F12" s="15" t="n">
        <v>0</v>
      </c>
      <c r="G12" s="15" t="n">
        <f aca="false">E12-F12</f>
        <v>5000</v>
      </c>
      <c r="H12" s="15" t="n">
        <f aca="false">G12/($B$4)*2</f>
        <v>209.79020979021</v>
      </c>
      <c r="I12" s="15" t="n">
        <f aca="false">J12/2</f>
        <v>227.272727272727</v>
      </c>
      <c r="J12" s="15" t="n">
        <f aca="false">G12/($B$3)</f>
        <v>454.545454545455</v>
      </c>
      <c r="K12" s="15" t="n">
        <f aca="false">F12+H12/2*$B$5</f>
        <v>5034.96503496504</v>
      </c>
      <c r="L12" s="16" t="n">
        <f aca="false">(H12/2)*(1+B12/100/52)^(52-$B$4)*( ( (1+B12/100/52)^$B$4-1) / (B12/100/52) ) + F12*(1+B12/100/52)^(52)</f>
        <v>5419.02409694358</v>
      </c>
      <c r="M12" s="16" t="n">
        <f aca="false">J12*(1+B12/100/12)^(12-$B$3)*(((1+B12/100/12)^$B$3-1)/(B12/100/12)) + F12*(1+B12/100/12)^(12)</f>
        <v>5391.07337174539</v>
      </c>
      <c r="N12" s="2" t="n">
        <v>0</v>
      </c>
      <c r="O12" s="16" t="n">
        <f aca="false">N12*H12</f>
        <v>0</v>
      </c>
      <c r="P12" s="17" t="n">
        <v>24</v>
      </c>
      <c r="Q12" s="13" t="n">
        <f aca="false">C12*P12/100</f>
        <v>2.4</v>
      </c>
      <c r="R12" s="16" t="n">
        <f aca="false">K12*P12/100</f>
        <v>1208.39160839161</v>
      </c>
      <c r="S12" s="18" t="n">
        <f aca="false">$E12*P12/100</f>
        <v>1200</v>
      </c>
      <c r="T12" s="2"/>
      <c r="U12" s="17" t="n">
        <v>2.3</v>
      </c>
      <c r="V12" s="13" t="n">
        <f aca="false">C12*U12/100</f>
        <v>0.23</v>
      </c>
      <c r="W12" s="16" t="n">
        <f aca="false">K12*U12/100</f>
        <v>115.804195804196</v>
      </c>
      <c r="X12" s="18" t="n">
        <f aca="false">$E12*U12/100</f>
        <v>115</v>
      </c>
      <c r="Y12" s="2"/>
      <c r="Z12" s="17" t="n">
        <v>0.1</v>
      </c>
      <c r="AA12" s="13" t="n">
        <f aca="false">C12*Z12/100</f>
        <v>0.01</v>
      </c>
      <c r="AB12" s="16" t="n">
        <f aca="false">K12*Z12/100</f>
        <v>5.03496503496504</v>
      </c>
      <c r="AC12" s="18" t="n">
        <f aca="false">$E12*Z12/100</f>
        <v>5</v>
      </c>
      <c r="AD12" s="2"/>
      <c r="AE12" s="19" t="n">
        <v>12</v>
      </c>
      <c r="AF12" s="13" t="n">
        <f aca="false">$C12*AE12/100</f>
        <v>1.2</v>
      </c>
      <c r="AG12" s="16" t="n">
        <f aca="false">$K12*AE12/100</f>
        <v>604.195804195804</v>
      </c>
      <c r="AH12" s="18" t="n">
        <f aca="false">$E12*AE12/100</f>
        <v>600</v>
      </c>
      <c r="AI12" s="2"/>
      <c r="AJ12" s="19" t="n">
        <v>13.2</v>
      </c>
      <c r="AK12" s="13" t="n">
        <f aca="false">$C12*AJ12/100</f>
        <v>1.32</v>
      </c>
      <c r="AL12" s="16" t="n">
        <f aca="false">$K12*AJ12/100</f>
        <v>664.615384615385</v>
      </c>
      <c r="AM12" s="18" t="n">
        <f aca="false">$E12*AJ12/100</f>
        <v>660</v>
      </c>
      <c r="AN12" s="2"/>
      <c r="AO12" s="19" t="n">
        <v>9</v>
      </c>
      <c r="AP12" s="13" t="n">
        <f aca="false">$C12*AO12/100</f>
        <v>0.9</v>
      </c>
      <c r="AQ12" s="16" t="n">
        <f aca="false">$K12*AO12/100</f>
        <v>453.146853146853</v>
      </c>
      <c r="AR12" s="18" t="n">
        <f aca="false">$E12*AO12/100</f>
        <v>450</v>
      </c>
      <c r="AS12" s="2"/>
      <c r="AT12" s="19" t="n">
        <v>0</v>
      </c>
      <c r="AU12" s="13" t="n">
        <f aca="false">$C12*AT12/100</f>
        <v>0</v>
      </c>
      <c r="AV12" s="16" t="n">
        <f aca="false">$K12*AT12/100</f>
        <v>0</v>
      </c>
      <c r="AW12" s="18" t="n">
        <f aca="false">$E12*AT12/100</f>
        <v>0</v>
      </c>
    </row>
    <row r="13" customFormat="false" ht="13.8" hidden="false" customHeight="false" outlineLevel="0" collapsed="false">
      <c r="A13" s="12" t="s">
        <v>43</v>
      </c>
      <c r="B13" s="13" t="n">
        <v>15</v>
      </c>
      <c r="C13" s="13" t="n">
        <v>10</v>
      </c>
      <c r="D13" s="14" t="n">
        <f aca="false">B13*C13/100</f>
        <v>1.5</v>
      </c>
      <c r="E13" s="15" t="n">
        <f aca="false">$B$1*C13/100</f>
        <v>5000</v>
      </c>
      <c r="F13" s="15" t="n">
        <v>0</v>
      </c>
      <c r="G13" s="15" t="n">
        <f aca="false">E13-F13</f>
        <v>5000</v>
      </c>
      <c r="H13" s="15" t="n">
        <f aca="false">G13/($B$4)*2</f>
        <v>209.79020979021</v>
      </c>
      <c r="I13" s="15" t="n">
        <f aca="false">J13/2</f>
        <v>227.272727272727</v>
      </c>
      <c r="J13" s="15" t="n">
        <f aca="false">G13/($B$3)</f>
        <v>454.545454545455</v>
      </c>
      <c r="K13" s="15" t="n">
        <f aca="false">F13+H13/2*$B$5</f>
        <v>5034.96503496504</v>
      </c>
      <c r="L13" s="16" t="n">
        <f aca="false">(H13/2)*(1+B13/100/52)^(52-$B$4)*( ( (1+B13/100/52)^$B$4-1) / (B13/100/52) ) + F13*(1+B13/100/52)^(52)</f>
        <v>5419.02409694358</v>
      </c>
      <c r="M13" s="16" t="n">
        <f aca="false">J13*(1+B13/100/12)^(12-$B$3)*(((1+B13/100/12)^$B$3-1)/(B13/100/12)) + F13*(1+B13/100/12)^(12)</f>
        <v>5391.07337174539</v>
      </c>
      <c r="N13" s="2" t="n">
        <v>-1</v>
      </c>
      <c r="O13" s="16" t="n">
        <f aca="false">N13*H13</f>
        <v>-209.79020979021</v>
      </c>
      <c r="P13" s="17" t="n">
        <v>22.5</v>
      </c>
      <c r="Q13" s="13" t="n">
        <f aca="false">C13*P13/100</f>
        <v>2.25</v>
      </c>
      <c r="R13" s="16" t="n">
        <f aca="false">K13*P13/100</f>
        <v>1132.86713286713</v>
      </c>
      <c r="S13" s="18" t="n">
        <f aca="false">$E13*P13/100</f>
        <v>1125</v>
      </c>
      <c r="T13" s="2"/>
      <c r="U13" s="17" t="n">
        <v>2.71</v>
      </c>
      <c r="V13" s="13" t="n">
        <f aca="false">C13*U13/100</f>
        <v>0.271</v>
      </c>
      <c r="W13" s="16" t="n">
        <f aca="false">K13*U13/100</f>
        <v>136.447552447552</v>
      </c>
      <c r="X13" s="18" t="n">
        <f aca="false">$E13*U13/100</f>
        <v>135.5</v>
      </c>
      <c r="Y13" s="2"/>
      <c r="Z13" s="17" t="n">
        <v>0</v>
      </c>
      <c r="AA13" s="13" t="n">
        <f aca="false">C13*Z13/100</f>
        <v>0</v>
      </c>
      <c r="AB13" s="16" t="n">
        <f aca="false">K13*Z13/100</f>
        <v>0</v>
      </c>
      <c r="AC13" s="18" t="n">
        <f aca="false">$E13*Z13/100</f>
        <v>0</v>
      </c>
      <c r="AD13" s="2"/>
      <c r="AE13" s="19" t="n">
        <v>12.61</v>
      </c>
      <c r="AF13" s="13" t="n">
        <f aca="false">$C13*AE13/100</f>
        <v>1.261</v>
      </c>
      <c r="AG13" s="16" t="n">
        <f aca="false">$K13*AE13/100</f>
        <v>634.909090909091</v>
      </c>
      <c r="AH13" s="18" t="n">
        <f aca="false">$E13*AE13/100</f>
        <v>630.5</v>
      </c>
      <c r="AI13" s="2"/>
      <c r="AJ13" s="19" t="n">
        <v>14</v>
      </c>
      <c r="AK13" s="13" t="n">
        <f aca="false">$C13*AJ13/100</f>
        <v>1.4</v>
      </c>
      <c r="AL13" s="16" t="n">
        <f aca="false">$K13*AJ13/100</f>
        <v>704.895104895105</v>
      </c>
      <c r="AM13" s="18" t="n">
        <f aca="false">$E13*AJ13/100</f>
        <v>700</v>
      </c>
      <c r="AN13" s="2"/>
      <c r="AO13" s="19" t="n">
        <v>8</v>
      </c>
      <c r="AP13" s="13" t="n">
        <f aca="false">$C13*AO13/100</f>
        <v>0.8</v>
      </c>
      <c r="AQ13" s="16" t="n">
        <f aca="false">$K13*AO13/100</f>
        <v>402.797202797203</v>
      </c>
      <c r="AR13" s="18" t="n">
        <f aca="false">$E13*AO13/100</f>
        <v>400</v>
      </c>
      <c r="AS13" s="2"/>
      <c r="AT13" s="19" t="n">
        <v>0</v>
      </c>
      <c r="AU13" s="13" t="n">
        <f aca="false">$C13*AT13/100</f>
        <v>0</v>
      </c>
      <c r="AV13" s="16" t="n">
        <f aca="false">$K13*AT13/100</f>
        <v>0</v>
      </c>
      <c r="AW13" s="18" t="n">
        <f aca="false">$E13*AT13/100</f>
        <v>0</v>
      </c>
    </row>
    <row r="14" customFormat="false" ht="13.8" hidden="false" customHeight="false" outlineLevel="0" collapsed="false">
      <c r="A14" s="12" t="s">
        <v>44</v>
      </c>
      <c r="B14" s="13" t="n">
        <v>15</v>
      </c>
      <c r="C14" s="13" t="n">
        <v>10</v>
      </c>
      <c r="D14" s="14" t="n">
        <f aca="false">B14*C14/100</f>
        <v>1.5</v>
      </c>
      <c r="E14" s="15" t="n">
        <f aca="false">$B$1*C14/100</f>
        <v>5000</v>
      </c>
      <c r="F14" s="15" t="n">
        <v>0</v>
      </c>
      <c r="G14" s="15" t="n">
        <f aca="false">E14-F14</f>
        <v>5000</v>
      </c>
      <c r="H14" s="15" t="n">
        <f aca="false">G14/($B$4)*2</f>
        <v>209.79020979021</v>
      </c>
      <c r="I14" s="15" t="n">
        <f aca="false">J14/2</f>
        <v>227.272727272727</v>
      </c>
      <c r="J14" s="15" t="n">
        <f aca="false">G14/($B$3)</f>
        <v>454.545454545455</v>
      </c>
      <c r="K14" s="15" t="n">
        <f aca="false">F14+H14/2*$B$5</f>
        <v>5034.96503496504</v>
      </c>
      <c r="L14" s="16" t="n">
        <f aca="false">(H14/2)*(1+B14/100/52)^(52-$B$4)*( ( (1+B14/100/52)^$B$4-1) / (B14/100/52) ) + F14*(1+B14/100/52)^(52)</f>
        <v>5419.02409694358</v>
      </c>
      <c r="M14" s="16" t="n">
        <f aca="false">J14*(1+B14/100/12)^(12-$B$3)*(((1+B14/100/12)^$B$3-1)/(B14/100/12)) + F14*(1+B14/100/12)^(12)</f>
        <v>5391.07337174539</v>
      </c>
      <c r="N14" s="2" t="n">
        <v>-2</v>
      </c>
      <c r="O14" s="16" t="n">
        <f aca="false">N14*H14</f>
        <v>-419.58041958042</v>
      </c>
      <c r="P14" s="17" t="n">
        <v>15.1</v>
      </c>
      <c r="Q14" s="13" t="n">
        <f aca="false">C14*P14/100</f>
        <v>1.51</v>
      </c>
      <c r="R14" s="16" t="n">
        <f aca="false">K14*P14/100</f>
        <v>760.27972027972</v>
      </c>
      <c r="S14" s="18" t="n">
        <f aca="false">$E14*P14/100</f>
        <v>755</v>
      </c>
      <c r="T14" s="2"/>
      <c r="U14" s="17" t="n">
        <v>0</v>
      </c>
      <c r="V14" s="13" t="n">
        <f aca="false">C14*U14/100</f>
        <v>0</v>
      </c>
      <c r="W14" s="16" t="n">
        <f aca="false">K14*U14/100</f>
        <v>0</v>
      </c>
      <c r="X14" s="18" t="n">
        <f aca="false">$E14*U14/100</f>
        <v>0</v>
      </c>
      <c r="Y14" s="2"/>
      <c r="Z14" s="17" t="n">
        <v>0</v>
      </c>
      <c r="AA14" s="13" t="n">
        <f aca="false">C14*Z14/100</f>
        <v>0</v>
      </c>
      <c r="AB14" s="16" t="n">
        <f aca="false">K14*Z14/100</f>
        <v>0</v>
      </c>
      <c r="AC14" s="18" t="n">
        <f aca="false">$E14*Z14/100</f>
        <v>0</v>
      </c>
      <c r="AD14" s="2"/>
      <c r="AE14" s="19" t="n">
        <v>7.9</v>
      </c>
      <c r="AF14" s="13" t="n">
        <f aca="false">$C14*AE14/100</f>
        <v>0.79</v>
      </c>
      <c r="AG14" s="16" t="n">
        <f aca="false">$K14*AE14/100</f>
        <v>397.762237762238</v>
      </c>
      <c r="AH14" s="18" t="n">
        <f aca="false">$E14*AE14/100</f>
        <v>395</v>
      </c>
      <c r="AI14" s="2"/>
      <c r="AJ14" s="19" t="n">
        <v>5.7</v>
      </c>
      <c r="AK14" s="13" t="n">
        <f aca="false">$C14*AJ14/100</f>
        <v>0.57</v>
      </c>
      <c r="AL14" s="16" t="n">
        <f aca="false">$K14*AJ14/100</f>
        <v>286.993006993007</v>
      </c>
      <c r="AM14" s="18" t="n">
        <f aca="false">$E14*AJ14/100</f>
        <v>285</v>
      </c>
      <c r="AN14" s="2"/>
      <c r="AO14" s="19" t="n">
        <v>0</v>
      </c>
      <c r="AP14" s="13" t="n">
        <f aca="false">$C14*AO14/100</f>
        <v>0</v>
      </c>
      <c r="AQ14" s="16" t="n">
        <f aca="false">$K14*AO14/100</f>
        <v>0</v>
      </c>
      <c r="AR14" s="18" t="n">
        <f aca="false">$E14*AO14/100</f>
        <v>0</v>
      </c>
      <c r="AS14" s="2"/>
      <c r="AT14" s="19" t="n">
        <v>0</v>
      </c>
      <c r="AU14" s="13" t="n">
        <f aca="false">$C14*AT14/100</f>
        <v>0</v>
      </c>
      <c r="AV14" s="16" t="n">
        <f aca="false">$K14*AT14/100</f>
        <v>0</v>
      </c>
      <c r="AW14" s="18" t="n">
        <f aca="false">$E14*AT14/100</f>
        <v>0</v>
      </c>
    </row>
    <row r="15" customFormat="false" ht="13.8" hidden="false" customHeight="false" outlineLevel="0" collapsed="false">
      <c r="A15" s="12" t="s">
        <v>45</v>
      </c>
      <c r="B15" s="13" t="n">
        <v>13</v>
      </c>
      <c r="C15" s="13" t="n">
        <v>7</v>
      </c>
      <c r="D15" s="14" t="n">
        <f aca="false">B15*C15/100</f>
        <v>0.91</v>
      </c>
      <c r="E15" s="15" t="n">
        <f aca="false">$B$1*C15/100</f>
        <v>3500</v>
      </c>
      <c r="F15" s="15" t="n">
        <v>0</v>
      </c>
      <c r="G15" s="15" t="n">
        <f aca="false">E15-F15</f>
        <v>3500</v>
      </c>
      <c r="H15" s="15" t="n">
        <f aca="false">G15/($B$4)*2</f>
        <v>146.853146853147</v>
      </c>
      <c r="I15" s="15" t="n">
        <f aca="false">J15/2</f>
        <v>159.090909090909</v>
      </c>
      <c r="J15" s="15" t="n">
        <f aca="false">G15/($B$3)</f>
        <v>318.181818181818</v>
      </c>
      <c r="K15" s="15" t="n">
        <f aca="false">F15+H15/2*$B$5</f>
        <v>3524.47552447552</v>
      </c>
      <c r="L15" s="16" t="n">
        <f aca="false">(H15/2)*(1+B15/100/52)^(52-$B$4)*( ( (1+B15/100/52)^$B$4-1) / (B15/100/52) ) + F15*(1+B15/100/52)^(52)</f>
        <v>3752.5410017372</v>
      </c>
      <c r="M15" s="16" t="n">
        <f aca="false">J15*(1+B15/100/12)^(12-$B$3)*(((1+B15/100/12)^$B$3-1)/(B15/100/12)) + F15*(1+B15/100/12)^(12)</f>
        <v>3735.91904040758</v>
      </c>
      <c r="N15" s="2" t="n">
        <v>1</v>
      </c>
      <c r="O15" s="16" t="n">
        <f aca="false">N15*H15</f>
        <v>146.853146853147</v>
      </c>
      <c r="P15" s="17" t="n">
        <v>13.9</v>
      </c>
      <c r="Q15" s="13" t="n">
        <f aca="false">C15*P15/100</f>
        <v>0.973</v>
      </c>
      <c r="R15" s="16" t="n">
        <f aca="false">K15*P15/100</f>
        <v>489.902097902098</v>
      </c>
      <c r="S15" s="18" t="n">
        <f aca="false">$E15*P15/100</f>
        <v>486.5</v>
      </c>
      <c r="T15" s="2"/>
      <c r="U15" s="17" t="n">
        <v>3.44</v>
      </c>
      <c r="V15" s="13" t="n">
        <f aca="false">C15*U15/100</f>
        <v>0.2408</v>
      </c>
      <c r="W15" s="16" t="n">
        <f aca="false">K15*U15/100</f>
        <v>121.241958041958</v>
      </c>
      <c r="X15" s="18" t="n">
        <f aca="false">$E15*U15/100</f>
        <v>120.4</v>
      </c>
      <c r="Y15" s="2"/>
      <c r="Z15" s="17" t="n">
        <v>0</v>
      </c>
      <c r="AA15" s="13" t="n">
        <f aca="false">C15*Z15/100</f>
        <v>0</v>
      </c>
      <c r="AB15" s="16" t="n">
        <f aca="false">K15*Z15/100</f>
        <v>0</v>
      </c>
      <c r="AC15" s="18" t="n">
        <f aca="false">$E15*Z15/100</f>
        <v>0</v>
      </c>
      <c r="AD15" s="2"/>
      <c r="AE15" s="19" t="n">
        <v>9.36</v>
      </c>
      <c r="AF15" s="13" t="n">
        <f aca="false">$C15*AE15/100</f>
        <v>0.6552</v>
      </c>
      <c r="AG15" s="16" t="n">
        <f aca="false">$K15*AE15/100</f>
        <v>329.890909090909</v>
      </c>
      <c r="AH15" s="18" t="n">
        <f aca="false">$E15*AE15/100</f>
        <v>327.6</v>
      </c>
      <c r="AI15" s="2"/>
      <c r="AJ15" s="19" t="n">
        <v>10.28</v>
      </c>
      <c r="AK15" s="13" t="n">
        <f aca="false">$C15*AJ15/100</f>
        <v>0.7196</v>
      </c>
      <c r="AL15" s="16" t="n">
        <f aca="false">$K15*AJ15/100</f>
        <v>362.316083916084</v>
      </c>
      <c r="AM15" s="18" t="n">
        <f aca="false">$E15*AJ15/100</f>
        <v>359.8</v>
      </c>
      <c r="AN15" s="2"/>
      <c r="AO15" s="19" t="n">
        <v>8.2</v>
      </c>
      <c r="AP15" s="13" t="n">
        <f aca="false">$C15*AO15/100</f>
        <v>0.574</v>
      </c>
      <c r="AQ15" s="16" t="n">
        <f aca="false">$K15*AO15/100</f>
        <v>289.006993006993</v>
      </c>
      <c r="AR15" s="18" t="n">
        <f aca="false">$E15*AO15/100</f>
        <v>287</v>
      </c>
      <c r="AS15" s="2"/>
      <c r="AT15" s="19" t="n">
        <v>0</v>
      </c>
      <c r="AU15" s="13" t="n">
        <f aca="false">$C15*AT15/100</f>
        <v>0</v>
      </c>
      <c r="AV15" s="16" t="n">
        <f aca="false">$K15*AT15/100</f>
        <v>0</v>
      </c>
      <c r="AW15" s="18" t="n">
        <f aca="false">$E15*AT15/100</f>
        <v>0</v>
      </c>
    </row>
    <row r="16" customFormat="false" ht="13.8" hidden="false" customHeight="false" outlineLevel="0" collapsed="false">
      <c r="A16" s="12" t="s">
        <v>46</v>
      </c>
      <c r="B16" s="13" t="n">
        <v>10</v>
      </c>
      <c r="C16" s="13" t="n">
        <v>5</v>
      </c>
      <c r="D16" s="14" t="n">
        <f aca="false">B16*C16/100</f>
        <v>0.5</v>
      </c>
      <c r="E16" s="15" t="n">
        <f aca="false">$B$1*C16/100</f>
        <v>2500</v>
      </c>
      <c r="F16" s="15" t="n">
        <v>0</v>
      </c>
      <c r="G16" s="15" t="n">
        <f aca="false">E16-F16</f>
        <v>2500</v>
      </c>
      <c r="H16" s="15" t="n">
        <f aca="false">G16/($B$4)*2</f>
        <v>104.895104895105</v>
      </c>
      <c r="I16" s="15" t="n">
        <f aca="false">J16/2</f>
        <v>113.636363636364</v>
      </c>
      <c r="J16" s="15" t="n">
        <f aca="false">G16/($B$3)</f>
        <v>227.272727272727</v>
      </c>
      <c r="K16" s="15" t="n">
        <f aca="false">F16+H16/2*$B$5</f>
        <v>2517.48251748252</v>
      </c>
      <c r="L16" s="16" t="n">
        <f aca="false">(H16/2)*(1+B16/100/52)^(52-$B$4)*( ( (1+B16/100/52)^$B$4-1) / (B16/100/52) ) + F16*(1+B16/100/52)^(52)</f>
        <v>2637.40118370413</v>
      </c>
      <c r="M16" s="16" t="n">
        <f aca="false">J16*(1+B16/100/12)^(12-$B$3)*(((1+B16/100/12)^$B$3-1)/(B16/100/12)) + F16*(1+B16/100/12)^(12)</f>
        <v>2628.53820294446</v>
      </c>
      <c r="N16" s="2" t="n">
        <v>1</v>
      </c>
      <c r="O16" s="16" t="n">
        <f aca="false">N16*H16</f>
        <v>104.895104895105</v>
      </c>
      <c r="P16" s="17" t="n">
        <v>22.4</v>
      </c>
      <c r="Q16" s="13" t="n">
        <f aca="false">C16*P16/100</f>
        <v>1.12</v>
      </c>
      <c r="R16" s="16" t="n">
        <f aca="false">K16*P16/100</f>
        <v>563.916083916084</v>
      </c>
      <c r="S16" s="18" t="n">
        <f aca="false">$E16*P16/100</f>
        <v>560</v>
      </c>
      <c r="T16" s="2"/>
      <c r="U16" s="17" t="n">
        <v>2.71</v>
      </c>
      <c r="V16" s="13" t="n">
        <f aca="false">C16*U16/100</f>
        <v>0.1355</v>
      </c>
      <c r="W16" s="16" t="n">
        <f aca="false">K16*U16/100</f>
        <v>68.2237762237762</v>
      </c>
      <c r="X16" s="18" t="n">
        <f aca="false">$E16*U16/100</f>
        <v>67.75</v>
      </c>
      <c r="Y16" s="2"/>
      <c r="Z16" s="17" t="n">
        <v>0</v>
      </c>
      <c r="AA16" s="13" t="n">
        <f aca="false">C16*Z16/100</f>
        <v>0</v>
      </c>
      <c r="AB16" s="16" t="n">
        <f aca="false">K16*Z16/100</f>
        <v>0</v>
      </c>
      <c r="AC16" s="18" t="n">
        <f aca="false">$E16*Z16/100</f>
        <v>0</v>
      </c>
      <c r="AD16" s="2"/>
      <c r="AE16" s="19" t="n">
        <v>12.6</v>
      </c>
      <c r="AF16" s="13" t="n">
        <f aca="false">$C16*AE16/100</f>
        <v>0.63</v>
      </c>
      <c r="AG16" s="16" t="n">
        <f aca="false">$K16*AE16/100</f>
        <v>317.202797202797</v>
      </c>
      <c r="AH16" s="18" t="n">
        <f aca="false">$E16*AE16/100</f>
        <v>315</v>
      </c>
      <c r="AI16" s="2"/>
      <c r="AJ16" s="19" t="n">
        <v>14</v>
      </c>
      <c r="AK16" s="13" t="n">
        <f aca="false">$C16*AJ16/100</f>
        <v>0.7</v>
      </c>
      <c r="AL16" s="16" t="n">
        <f aca="false">$K16*AJ16/100</f>
        <v>352.447552447552</v>
      </c>
      <c r="AM16" s="18" t="n">
        <f aca="false">$E16*AJ16/100</f>
        <v>350</v>
      </c>
      <c r="AN16" s="2"/>
      <c r="AO16" s="19" t="n">
        <v>8</v>
      </c>
      <c r="AP16" s="13" t="n">
        <f aca="false">$C16*AO16/100</f>
        <v>0.4</v>
      </c>
      <c r="AQ16" s="16" t="n">
        <f aca="false">$K16*AO16/100</f>
        <v>201.398601398601</v>
      </c>
      <c r="AR16" s="18" t="n">
        <f aca="false">$E16*AO16/100</f>
        <v>200</v>
      </c>
      <c r="AS16" s="2"/>
      <c r="AT16" s="19" t="n">
        <v>0</v>
      </c>
      <c r="AU16" s="13" t="n">
        <f aca="false">$C16*AT16/100</f>
        <v>0</v>
      </c>
      <c r="AV16" s="16" t="n">
        <f aca="false">$K16*AT16/100</f>
        <v>0</v>
      </c>
      <c r="AW16" s="18" t="n">
        <f aca="false">$E16*AT16/100</f>
        <v>0</v>
      </c>
    </row>
    <row r="17" customFormat="false" ht="13.8" hidden="false" customHeight="false" outlineLevel="0" collapsed="false">
      <c r="A17" s="12" t="s">
        <v>47</v>
      </c>
      <c r="B17" s="13" t="n">
        <v>14</v>
      </c>
      <c r="C17" s="13" t="n">
        <v>7</v>
      </c>
      <c r="D17" s="14" t="n">
        <f aca="false">B17*C17/100</f>
        <v>0.98</v>
      </c>
      <c r="E17" s="15" t="n">
        <f aca="false">$B$1*C17/100</f>
        <v>3500</v>
      </c>
      <c r="F17" s="15" t="n">
        <v>0</v>
      </c>
      <c r="G17" s="15" t="n">
        <f aca="false">E17-F17</f>
        <v>3500</v>
      </c>
      <c r="H17" s="15" t="n">
        <f aca="false">G17/($B$4)*2</f>
        <v>146.853146853147</v>
      </c>
      <c r="I17" s="15" t="n">
        <f aca="false">J17/2</f>
        <v>159.090909090909</v>
      </c>
      <c r="J17" s="15" t="n">
        <f aca="false">G17/($B$3)</f>
        <v>318.181818181818</v>
      </c>
      <c r="K17" s="15" t="n">
        <f aca="false">F17+H17/2*$B$5</f>
        <v>3524.47552447552</v>
      </c>
      <c r="L17" s="16" t="n">
        <f aca="false">(H17/2)*(1+B17/100/52)^(52-$B$4)*( ( (1+B17/100/52)^$B$4-1) / (B17/100/52) ) + F17*(1+B17/100/52)^(52)</f>
        <v>3772.86268194801</v>
      </c>
      <c r="M17" s="16" t="n">
        <f aca="false">J17*(1+B17/100/12)^(12-$B$3)*(((1+B17/100/12)^$B$3-1)/(B17/100/12)) + F17*(1+B17/100/12)^(12)</f>
        <v>3754.78261474066</v>
      </c>
      <c r="N17" s="2" t="n">
        <v>1</v>
      </c>
      <c r="O17" s="16" t="n">
        <f aca="false">N17*H17</f>
        <v>146.853146853147</v>
      </c>
      <c r="P17" s="17" t="n">
        <v>0</v>
      </c>
      <c r="Q17" s="13" t="n">
        <f aca="false">C17*P17/100</f>
        <v>0</v>
      </c>
      <c r="R17" s="16" t="n">
        <f aca="false">K17*P17/100</f>
        <v>0</v>
      </c>
      <c r="S17" s="18" t="n">
        <f aca="false">$E17*P17/100</f>
        <v>0</v>
      </c>
      <c r="T17" s="2"/>
      <c r="U17" s="17" t="n">
        <v>100</v>
      </c>
      <c r="V17" s="13" t="n">
        <f aca="false">C17*U17/100</f>
        <v>7</v>
      </c>
      <c r="W17" s="16" t="n">
        <f aca="false">K17*U17/100</f>
        <v>3524.47552447552</v>
      </c>
      <c r="X17" s="18" t="n">
        <f aca="false">$E17*U17/100</f>
        <v>3500</v>
      </c>
      <c r="Y17" s="2"/>
      <c r="Z17" s="17" t="n">
        <v>1.84</v>
      </c>
      <c r="AA17" s="13" t="n">
        <f aca="false">C17*Z17/100</f>
        <v>0.1288</v>
      </c>
      <c r="AB17" s="16" t="n">
        <f aca="false">K17*Z17/100</f>
        <v>64.8503496503497</v>
      </c>
      <c r="AC17" s="18" t="n">
        <f aca="false">$E17*Z17/100</f>
        <v>64.4</v>
      </c>
      <c r="AD17" s="2"/>
      <c r="AE17" s="19" t="n">
        <v>0</v>
      </c>
      <c r="AF17" s="13" t="n">
        <f aca="false">$C17*AE17/100</f>
        <v>0</v>
      </c>
      <c r="AG17" s="16" t="n">
        <f aca="false">$K17*AE17/100</f>
        <v>0</v>
      </c>
      <c r="AH17" s="18" t="n">
        <f aca="false">$E17*AE17/100</f>
        <v>0</v>
      </c>
      <c r="AI17" s="2"/>
      <c r="AJ17" s="19" t="n">
        <v>0</v>
      </c>
      <c r="AK17" s="13" t="n">
        <f aca="false">$C17*AJ17/100</f>
        <v>0</v>
      </c>
      <c r="AL17" s="16" t="n">
        <f aca="false">$K17*AJ17/100</f>
        <v>0</v>
      </c>
      <c r="AM17" s="18" t="n">
        <f aca="false">$E17*AJ17/100</f>
        <v>0</v>
      </c>
      <c r="AN17" s="2"/>
      <c r="AO17" s="19" t="n">
        <v>0</v>
      </c>
      <c r="AP17" s="13" t="n">
        <f aca="false">$C17*AO17/100</f>
        <v>0</v>
      </c>
      <c r="AQ17" s="16" t="n">
        <f aca="false">$K17*AO17/100</f>
        <v>0</v>
      </c>
      <c r="AR17" s="18" t="n">
        <f aca="false">$E17*AO17/100</f>
        <v>0</v>
      </c>
      <c r="AS17" s="2"/>
      <c r="AT17" s="19" t="n">
        <v>0</v>
      </c>
      <c r="AU17" s="13" t="n">
        <f aca="false">$C17*AT17/100</f>
        <v>0</v>
      </c>
      <c r="AV17" s="16" t="n">
        <f aca="false">$K17*AT17/100</f>
        <v>0</v>
      </c>
      <c r="AW17" s="18" t="n">
        <f aca="false">$E17*AT17/100</f>
        <v>0</v>
      </c>
    </row>
    <row r="18" customFormat="false" ht="13.8" hidden="false" customHeight="false" outlineLevel="0" collapsed="false">
      <c r="A18" s="12" t="s">
        <v>49</v>
      </c>
      <c r="B18" s="13" t="n">
        <v>8</v>
      </c>
      <c r="C18" s="13" t="n">
        <v>6</v>
      </c>
      <c r="D18" s="14" t="n">
        <f aca="false">B18*C18/100</f>
        <v>0.48</v>
      </c>
      <c r="E18" s="15" t="n">
        <f aca="false">$B$1*C18/100</f>
        <v>3000</v>
      </c>
      <c r="F18" s="15" t="n">
        <v>0</v>
      </c>
      <c r="G18" s="15" t="n">
        <f aca="false">E18-F18</f>
        <v>3000</v>
      </c>
      <c r="H18" s="15" t="n">
        <f aca="false">G18/($B$4)*2</f>
        <v>125.874125874126</v>
      </c>
      <c r="I18" s="15" t="n">
        <f aca="false">J18/2</f>
        <v>136.363636363636</v>
      </c>
      <c r="J18" s="15" t="n">
        <f aca="false">G18/($B$3)</f>
        <v>272.727272727273</v>
      </c>
      <c r="K18" s="15" t="n">
        <f aca="false">F18+H18/2*$B$5</f>
        <v>3020.97902097902</v>
      </c>
      <c r="L18" s="16" t="n">
        <f aca="false">(H18/2)*(1+B18/100/52)^(52-$B$4)*( ( (1+B18/100/52)^$B$4-1) / (B18/100/52) ) + F18*(1+B18/100/52)^(52)</f>
        <v>3131.04653378514</v>
      </c>
      <c r="M18" s="16" t="n">
        <f aca="false">J18*(1+B18/100/12)^(12-$B$3)*(((1+B18/100/12)^$B$3-1)/(B18/100/12)) + F18*(1+B18/100/12)^(12)</f>
        <v>3122.70709667086</v>
      </c>
      <c r="N18" s="2" t="n">
        <v>1</v>
      </c>
      <c r="O18" s="16" t="n">
        <f aca="false">N18*H18</f>
        <v>125.874125874126</v>
      </c>
      <c r="P18" s="17" t="n">
        <v>0</v>
      </c>
      <c r="Q18" s="13" t="n">
        <f aca="false">C18*P18/100</f>
        <v>0</v>
      </c>
      <c r="R18" s="16" t="n">
        <f aca="false">K18*P18/100</f>
        <v>0</v>
      </c>
      <c r="S18" s="18" t="n">
        <f aca="false">$E18*P18/100</f>
        <v>0</v>
      </c>
      <c r="T18" s="2"/>
      <c r="U18" s="17" t="n">
        <v>0</v>
      </c>
      <c r="V18" s="13" t="n">
        <f aca="false">C18*U18/100</f>
        <v>0</v>
      </c>
      <c r="W18" s="16" t="n">
        <f aca="false">K18*U18/100</f>
        <v>0</v>
      </c>
      <c r="X18" s="18" t="n">
        <f aca="false">$E18*U18/100</f>
        <v>0</v>
      </c>
      <c r="Y18" s="2"/>
      <c r="Z18" s="17" t="n">
        <v>100</v>
      </c>
      <c r="AA18" s="13" t="n">
        <f aca="false">C18*Z18/100</f>
        <v>6</v>
      </c>
      <c r="AB18" s="16" t="n">
        <f aca="false">K18*Z18/100</f>
        <v>3020.97902097902</v>
      </c>
      <c r="AC18" s="18" t="n">
        <f aca="false">$E18*Z18/100</f>
        <v>3000</v>
      </c>
      <c r="AD18" s="2"/>
      <c r="AE18" s="19" t="n">
        <v>0</v>
      </c>
      <c r="AF18" s="13" t="n">
        <f aca="false">$C18*AE18/100</f>
        <v>0</v>
      </c>
      <c r="AG18" s="16" t="n">
        <f aca="false">$K18*AE18/100</f>
        <v>0</v>
      </c>
      <c r="AH18" s="18" t="n">
        <f aca="false">$E18*AE18/100</f>
        <v>0</v>
      </c>
      <c r="AI18" s="2"/>
      <c r="AJ18" s="19" t="n">
        <v>0</v>
      </c>
      <c r="AK18" s="13" t="n">
        <f aca="false">$C18*AJ18/100</f>
        <v>0</v>
      </c>
      <c r="AL18" s="16" t="n">
        <f aca="false">$K18*AJ18/100</f>
        <v>0</v>
      </c>
      <c r="AM18" s="18" t="n">
        <f aca="false">$E18*AJ18/100</f>
        <v>0</v>
      </c>
      <c r="AN18" s="2"/>
      <c r="AO18" s="19" t="n">
        <v>0</v>
      </c>
      <c r="AP18" s="13" t="n">
        <f aca="false">$C18*AO18/100</f>
        <v>0</v>
      </c>
      <c r="AQ18" s="16" t="n">
        <f aca="false">$K18*AO18/100</f>
        <v>0</v>
      </c>
      <c r="AR18" s="18" t="n">
        <f aca="false">$E18*AO18/100</f>
        <v>0</v>
      </c>
      <c r="AS18" s="2"/>
      <c r="AT18" s="19" t="n">
        <v>0</v>
      </c>
      <c r="AU18" s="13" t="n">
        <f aca="false">$C18*AT18/100</f>
        <v>0</v>
      </c>
      <c r="AV18" s="16" t="n">
        <f aca="false">$K18*AT18/100</f>
        <v>0</v>
      </c>
      <c r="AW18" s="18" t="n">
        <f aca="false">$E18*AT18/100</f>
        <v>0</v>
      </c>
    </row>
    <row r="19" customFormat="false" ht="13.8" hidden="false" customHeight="false" outlineLevel="0" collapsed="false">
      <c r="A19" s="12" t="s">
        <v>50</v>
      </c>
      <c r="B19" s="13" t="n">
        <v>20</v>
      </c>
      <c r="C19" s="13" t="n">
        <v>9</v>
      </c>
      <c r="D19" s="14" t="n">
        <f aca="false">B19*C19/100</f>
        <v>1.8</v>
      </c>
      <c r="E19" s="15" t="n">
        <f aca="false">$B$1*C19/100</f>
        <v>4500</v>
      </c>
      <c r="F19" s="15" t="n">
        <v>0</v>
      </c>
      <c r="G19" s="15" t="n">
        <f aca="false">E19-F19</f>
        <v>4500</v>
      </c>
      <c r="H19" s="15" t="n">
        <f aca="false">G19/($B$4)*2</f>
        <v>188.811188811189</v>
      </c>
      <c r="I19" s="15" t="n">
        <f aca="false">J19/2</f>
        <v>204.545454545455</v>
      </c>
      <c r="J19" s="15" t="n">
        <f aca="false">G19/($B$3)</f>
        <v>409.090909090909</v>
      </c>
      <c r="K19" s="15" t="n">
        <f aca="false">F19+H19/2*$B$5</f>
        <v>4531.46853146853</v>
      </c>
      <c r="L19" s="16" t="n">
        <f aca="false">(H19/2)*(1+B19/100/52)^(52-$B$4)*( ( (1+B19/100/52)^$B$4-1) / (B19/100/52) ) + F19*(1+B19/100/52)^(52)</f>
        <v>5011.21115660517</v>
      </c>
      <c r="M19" s="16" t="n">
        <f aca="false">J19*(1+B19/100/12)^(12-$B$3)*(((1+B19/100/12)^$B$3-1)/(B19/100/12)) + F19*(1+B19/100/12)^(12)</f>
        <v>4975.96299312841</v>
      </c>
      <c r="N19" s="2" t="n">
        <v>2</v>
      </c>
      <c r="O19" s="16" t="n">
        <f aca="false">N19*H19</f>
        <v>377.622377622378</v>
      </c>
      <c r="P19" s="17" t="n">
        <v>20</v>
      </c>
      <c r="Q19" s="13" t="n">
        <f aca="false">C19*P19/100</f>
        <v>1.8</v>
      </c>
      <c r="R19" s="16" t="n">
        <f aca="false">K19*P19/100</f>
        <v>906.293706293707</v>
      </c>
      <c r="S19" s="18" t="n">
        <f aca="false">$E19*P19/100</f>
        <v>900</v>
      </c>
      <c r="T19" s="2"/>
      <c r="U19" s="17" t="n">
        <v>0.65</v>
      </c>
      <c r="V19" s="13" t="n">
        <f aca="false">C19*U19/100</f>
        <v>0.0585</v>
      </c>
      <c r="W19" s="16" t="n">
        <f aca="false">K19*U19/100</f>
        <v>29.4545454545455</v>
      </c>
      <c r="X19" s="18" t="n">
        <f aca="false">$E19*U19/100</f>
        <v>29.25</v>
      </c>
      <c r="Y19" s="2"/>
      <c r="Z19" s="17" t="n">
        <v>0</v>
      </c>
      <c r="AA19" s="13" t="n">
        <f aca="false">C19*Z19/100</f>
        <v>0</v>
      </c>
      <c r="AB19" s="16" t="n">
        <f aca="false">K19*Z19/100</f>
        <v>0</v>
      </c>
      <c r="AC19" s="18" t="n">
        <f aca="false">$E19*Z19/100</f>
        <v>0</v>
      </c>
      <c r="AD19" s="2"/>
      <c r="AE19" s="19" t="n">
        <v>5</v>
      </c>
      <c r="AF19" s="13" t="n">
        <f aca="false">$C19*AE19/100</f>
        <v>0.45</v>
      </c>
      <c r="AG19" s="16" t="n">
        <f aca="false">$K19*AE19/100</f>
        <v>226.573426573427</v>
      </c>
      <c r="AH19" s="18" t="n">
        <f aca="false">$E19*AE19/100</f>
        <v>225</v>
      </c>
      <c r="AI19" s="2"/>
      <c r="AJ19" s="19" t="n">
        <v>24</v>
      </c>
      <c r="AK19" s="13" t="n">
        <f aca="false">$C19*AJ19/100</f>
        <v>2.16</v>
      </c>
      <c r="AL19" s="16" t="n">
        <f aca="false">$K19*AJ19/100</f>
        <v>1087.55244755245</v>
      </c>
      <c r="AM19" s="18" t="n">
        <f aca="false">$E19*AJ19/100</f>
        <v>1080</v>
      </c>
      <c r="AN19" s="2"/>
      <c r="AO19" s="19" t="n">
        <v>3.15</v>
      </c>
      <c r="AP19" s="13" t="n">
        <f aca="false">$C19*AO19/100</f>
        <v>0.2835</v>
      </c>
      <c r="AQ19" s="16" t="n">
        <f aca="false">$K19*AO19/100</f>
        <v>142.741258741259</v>
      </c>
      <c r="AR19" s="18" t="n">
        <f aca="false">$E19*AO19/100</f>
        <v>141.75</v>
      </c>
      <c r="AS19" s="2"/>
      <c r="AT19" s="19" t="n">
        <v>0</v>
      </c>
      <c r="AU19" s="13" t="n">
        <f aca="false">$C19*AT19/100</f>
        <v>0</v>
      </c>
      <c r="AV19" s="16" t="n">
        <f aca="false">$K19*AT19/100</f>
        <v>0</v>
      </c>
      <c r="AW19" s="18" t="n">
        <f aca="false">$E19*AT19/100</f>
        <v>0</v>
      </c>
    </row>
    <row r="20" customFormat="false" ht="13.8" hidden="false" customHeight="false" outlineLevel="0" collapsed="false">
      <c r="A20" s="12" t="s">
        <v>51</v>
      </c>
      <c r="B20" s="13" t="n">
        <v>-15</v>
      </c>
      <c r="C20" s="13" t="n">
        <v>1</v>
      </c>
      <c r="D20" s="14" t="n">
        <f aca="false">B20*C20/100</f>
        <v>-0.15</v>
      </c>
      <c r="E20" s="15" t="n">
        <f aca="false">$B$1*C20/100</f>
        <v>500</v>
      </c>
      <c r="F20" s="15" t="n">
        <v>0</v>
      </c>
      <c r="G20" s="15" t="n">
        <f aca="false">E20-F20</f>
        <v>500</v>
      </c>
      <c r="H20" s="15" t="n">
        <f aca="false">G20/($B$4)*2</f>
        <v>20.979020979021</v>
      </c>
      <c r="I20" s="15" t="n">
        <f aca="false">J20/2</f>
        <v>22.7272727272727</v>
      </c>
      <c r="J20" s="15" t="n">
        <f aca="false">G20/($B$3)</f>
        <v>45.4545454545455</v>
      </c>
      <c r="K20" s="15" t="n">
        <f aca="false">F20+H20/2*$B$5</f>
        <v>503.496503496504</v>
      </c>
      <c r="L20" s="16" t="n">
        <f aca="false">(H20/2)*(1+B20/100/52)^(52-$B$4)*( ( (1+B20/100/52)^$B$4-1) / (B20/100/52) ) + F20*(1+B20/100/52)^(52)</f>
        <v>461.958307427828</v>
      </c>
      <c r="M20" s="16" t="n">
        <f aca="false">J20*(1+B20/100/12)^(12-$B$3)*(((1+B20/100/12)^$B$3-1)/(B20/100/12)) + F20*(1+B20/100/12)^(12)</f>
        <v>464.019420912628</v>
      </c>
      <c r="N20" s="2" t="n">
        <v>2</v>
      </c>
      <c r="O20" s="16" t="n">
        <f aca="false">N20*H20</f>
        <v>41.958041958042</v>
      </c>
      <c r="P20" s="17" t="n">
        <v>7</v>
      </c>
      <c r="Q20" s="13" t="n">
        <f aca="false">C20*P20/100</f>
        <v>0.07</v>
      </c>
      <c r="R20" s="16" t="n">
        <f aca="false">K20*P20/100</f>
        <v>35.2447552447553</v>
      </c>
      <c r="S20" s="18" t="n">
        <f aca="false">$E20*P20/100</f>
        <v>35</v>
      </c>
      <c r="T20" s="2"/>
      <c r="U20" s="17" t="n">
        <v>4</v>
      </c>
      <c r="V20" s="13" t="n">
        <f aca="false">C20*U20/100</f>
        <v>0.04</v>
      </c>
      <c r="W20" s="16" t="n">
        <f aca="false">K20*U20/100</f>
        <v>20.1398601398601</v>
      </c>
      <c r="X20" s="18" t="n">
        <f aca="false">$E20*U20/100</f>
        <v>20</v>
      </c>
      <c r="Y20" s="2"/>
      <c r="Z20" s="17" t="n">
        <v>0.7</v>
      </c>
      <c r="AA20" s="13" t="n">
        <f aca="false">C20*Z20/100</f>
        <v>0.007</v>
      </c>
      <c r="AB20" s="16" t="n">
        <f aca="false">K20*Z20/100</f>
        <v>3.52447552447552</v>
      </c>
      <c r="AC20" s="18" t="n">
        <f aca="false">$E20*Z20/100</f>
        <v>3.5</v>
      </c>
      <c r="AD20" s="2"/>
      <c r="AE20" s="19" t="n">
        <v>7.6</v>
      </c>
      <c r="AF20" s="13" t="n">
        <f aca="false">$C20*AE20/100</f>
        <v>0.076</v>
      </c>
      <c r="AG20" s="16" t="n">
        <f aca="false">$K20*AE20/100</f>
        <v>38.2657342657343</v>
      </c>
      <c r="AH20" s="18" t="n">
        <f aca="false">$E20*AE20/100</f>
        <v>38</v>
      </c>
      <c r="AI20" s="2"/>
      <c r="AJ20" s="19" t="n">
        <v>13.5</v>
      </c>
      <c r="AK20" s="13" t="n">
        <f aca="false">$C20*AJ20/100</f>
        <v>0.135</v>
      </c>
      <c r="AL20" s="16" t="n">
        <f aca="false">$K20*AJ20/100</f>
        <v>67.972027972028</v>
      </c>
      <c r="AM20" s="18" t="n">
        <f aca="false">$E20*AJ20/100</f>
        <v>67.5</v>
      </c>
      <c r="AN20" s="2"/>
      <c r="AO20" s="19" t="n">
        <v>18</v>
      </c>
      <c r="AP20" s="13" t="n">
        <f aca="false">$C20*AO20/100</f>
        <v>0.18</v>
      </c>
      <c r="AQ20" s="16" t="n">
        <f aca="false">$K20*AO20/100</f>
        <v>90.6293706293706</v>
      </c>
      <c r="AR20" s="18" t="n">
        <f aca="false">$E20*AO20/100</f>
        <v>90</v>
      </c>
      <c r="AS20" s="2"/>
      <c r="AT20" s="19" t="n">
        <v>0</v>
      </c>
      <c r="AU20" s="13" t="n">
        <f aca="false">$C20*AT20/100</f>
        <v>0</v>
      </c>
      <c r="AV20" s="16" t="n">
        <f aca="false">$K20*AT20/100</f>
        <v>0</v>
      </c>
      <c r="AW20" s="18" t="n">
        <f aca="false">$E20*AT20/100</f>
        <v>0</v>
      </c>
    </row>
    <row r="21" customFormat="false" ht="13.8" hidden="false" customHeight="false" outlineLevel="0" collapsed="false">
      <c r="A21" s="24" t="s">
        <v>52</v>
      </c>
      <c r="B21" s="13"/>
      <c r="C21" s="13"/>
      <c r="D21" s="14"/>
      <c r="E21" s="15"/>
      <c r="F21" s="15"/>
      <c r="G21" s="15"/>
      <c r="H21" s="15"/>
      <c r="I21" s="15"/>
      <c r="J21" s="15"/>
      <c r="K21" s="15"/>
      <c r="L21" s="16"/>
      <c r="M21" s="16"/>
      <c r="N21" s="2"/>
      <c r="O21" s="16"/>
      <c r="P21" s="25" t="s">
        <v>53</v>
      </c>
      <c r="Q21" s="26" t="n">
        <f aca="false">SUM(Q9:Q20)</f>
        <v>33.123</v>
      </c>
      <c r="R21" s="27" t="n">
        <f aca="false">SUM(R9:R17)</f>
        <v>15735.7762237762</v>
      </c>
      <c r="S21" s="28" t="n">
        <f aca="false">SUM(S9:S20)</f>
        <v>16561.5</v>
      </c>
      <c r="T21" s="2"/>
      <c r="U21" s="25" t="s">
        <v>53</v>
      </c>
      <c r="V21" s="26" t="n">
        <f aca="false">SUM(V9:V20)</f>
        <v>8.2658</v>
      </c>
      <c r="W21" s="27" t="n">
        <f aca="false">SUM(W9:W17)</f>
        <v>4112.20699300699</v>
      </c>
      <c r="X21" s="28" t="n">
        <f aca="false">SUM(X9:X20)</f>
        <v>4132.9</v>
      </c>
      <c r="Y21" s="2"/>
      <c r="Z21" s="25" t="s">
        <v>53</v>
      </c>
      <c r="AA21" s="26" t="n">
        <f aca="false">SUM(AA9:AA20)</f>
        <v>6.1558</v>
      </c>
      <c r="AB21" s="27" t="n">
        <f aca="false">SUM(AB9:AB17)</f>
        <v>74.9202797202797</v>
      </c>
      <c r="AC21" s="28" t="n">
        <f aca="false">SUM(AC9:AC20)</f>
        <v>3077.9</v>
      </c>
      <c r="AD21" s="2"/>
      <c r="AE21" s="25" t="s">
        <v>53</v>
      </c>
      <c r="AF21" s="26" t="n">
        <f aca="false">SUM(AF9:AF20)</f>
        <v>7.1922</v>
      </c>
      <c r="AG21" s="27" t="n">
        <f aca="false">SUM(AG9:AG17)</f>
        <v>3356.40839160839</v>
      </c>
      <c r="AH21" s="28" t="n">
        <f aca="false">SUM(AH9:AH20)</f>
        <v>3596.1</v>
      </c>
      <c r="AI21" s="2"/>
      <c r="AJ21" s="25" t="s">
        <v>53</v>
      </c>
      <c r="AK21" s="26" t="n">
        <f aca="false">SUM(AK9:AK20)</f>
        <v>8.2746</v>
      </c>
      <c r="AL21" s="27" t="n">
        <f aca="false">SUM(AL9:AL17)</f>
        <v>3010.70769230769</v>
      </c>
      <c r="AM21" s="28" t="n">
        <f aca="false">SUM(AM9:AM20)</f>
        <v>4137.3</v>
      </c>
      <c r="AN21" s="2"/>
      <c r="AO21" s="25" t="s">
        <v>53</v>
      </c>
      <c r="AP21" s="26" t="n">
        <f aca="false">SUM(AP9:AP20)</f>
        <v>5.1375</v>
      </c>
      <c r="AQ21" s="27" t="n">
        <f aca="false">SUM(AQ9:AQ17)</f>
        <v>2353.34265734266</v>
      </c>
      <c r="AR21" s="28" t="n">
        <f aca="false">SUM(AR9:AR20)</f>
        <v>2568.75</v>
      </c>
      <c r="AS21" s="2"/>
      <c r="AT21" s="25" t="s">
        <v>53</v>
      </c>
      <c r="AU21" s="26" t="n">
        <f aca="false">SUM(AU9:AU20)</f>
        <v>0</v>
      </c>
      <c r="AV21" s="27" t="n">
        <f aca="false">SUM(AV9:AV17)</f>
        <v>0</v>
      </c>
      <c r="AW21" s="28" t="n">
        <f aca="false">SUM(AW9:AW20)</f>
        <v>0</v>
      </c>
    </row>
    <row r="22" customFormat="false" ht="13.8" hidden="false" customHeight="false" outlineLevel="0" collapsed="false">
      <c r="A22" s="12"/>
      <c r="B22" s="13"/>
      <c r="C22" s="13"/>
      <c r="D22" s="14"/>
      <c r="E22" s="15"/>
      <c r="F22" s="15"/>
      <c r="G22" s="15"/>
      <c r="H22" s="15"/>
      <c r="I22" s="15"/>
      <c r="J22" s="15"/>
      <c r="K22" s="15"/>
      <c r="L22" s="16"/>
      <c r="M22" s="16"/>
      <c r="N22" s="2"/>
      <c r="O22" s="1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customFormat="false" ht="13.8" hidden="false" customHeight="false" outlineLevel="0" collapsed="false">
      <c r="A23" s="12"/>
      <c r="B23" s="13"/>
      <c r="C23" s="13"/>
      <c r="D23" s="14"/>
      <c r="E23" s="15"/>
      <c r="F23" s="15"/>
      <c r="G23" s="15"/>
      <c r="H23" s="15"/>
      <c r="I23" s="15"/>
      <c r="J23" s="15"/>
      <c r="K23" s="15"/>
      <c r="L23" s="16"/>
      <c r="M23" s="16"/>
      <c r="N23" s="2"/>
      <c r="O23" s="1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 t="s">
        <v>54</v>
      </c>
      <c r="AU23" s="2" t="n">
        <f aca="false">AU21+AA21+V21</f>
        <v>14.4216</v>
      </c>
      <c r="AV23" s="2"/>
      <c r="AW23" s="2"/>
    </row>
    <row r="24" customFormat="false" ht="13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1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customFormat="false" ht="13.8" hidden="false" customHeight="false" outlineLevel="0" collapsed="false">
      <c r="A25" s="29" t="s">
        <v>55</v>
      </c>
      <c r="B25" s="2"/>
      <c r="C25" s="7" t="n">
        <f aca="false">SUM(C9:C23)</f>
        <v>100</v>
      </c>
      <c r="D25" s="7" t="n">
        <f aca="false">SUM(D9:D23)</f>
        <v>18.52</v>
      </c>
      <c r="E25" s="15" t="n">
        <f aca="false">SUM(E9:E23)</f>
        <v>50000</v>
      </c>
      <c r="F25" s="15" t="n">
        <f aca="false">SUM(F9:F23)</f>
        <v>0</v>
      </c>
      <c r="G25" s="15" t="n">
        <f aca="false">SUM(G9:G23)</f>
        <v>50000</v>
      </c>
      <c r="H25" s="15" t="n">
        <f aca="false">SUM(H9:H23)</f>
        <v>2097.9020979021</v>
      </c>
      <c r="I25" s="15"/>
      <c r="J25" s="15" t="n">
        <f aca="false">SUM(J9:J23)</f>
        <v>4545.45454545455</v>
      </c>
      <c r="K25" s="15" t="n">
        <f aca="false">SUM(K9:K23)</f>
        <v>50349.6503496504</v>
      </c>
      <c r="L25" s="15" t="n">
        <f aca="false">SUM(L9:L23)</f>
        <v>55294.5678319946</v>
      </c>
      <c r="M25" s="15" t="n">
        <f aca="false">SUM(M9:M23)</f>
        <v>54924.3983562879</v>
      </c>
      <c r="N25" s="2"/>
      <c r="O25" s="16" t="n">
        <f aca="false">SUM(O9:O23)</f>
        <v>314.685314685315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18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customFormat="false" ht="13.8" hidden="false" customHeight="false" outlineLevel="0" collapsed="false">
      <c r="A26" s="30" t="s">
        <v>56</v>
      </c>
      <c r="B26" s="31"/>
      <c r="C26" s="31"/>
      <c r="D26" s="31"/>
      <c r="E26" s="32" t="n">
        <f aca="false">E25-E27</f>
        <v>49814.75</v>
      </c>
      <c r="F26" s="32" t="n">
        <f aca="false">F25-F27</f>
        <v>0</v>
      </c>
      <c r="G26" s="32" t="n">
        <f aca="false">G25-G27</f>
        <v>49814.75</v>
      </c>
      <c r="H26" s="32" t="n">
        <f aca="false">H25-H27</f>
        <v>2090.12937062937</v>
      </c>
      <c r="I26" s="32"/>
      <c r="J26" s="32" t="n">
        <f aca="false">J25-J27</f>
        <v>4528.61363636364</v>
      </c>
      <c r="K26" s="32" t="n">
        <f aca="false">K25-K27</f>
        <v>50163.1048951049</v>
      </c>
      <c r="L26" s="33" t="n">
        <f aca="false">L25-E27</f>
        <v>55109.3178319946</v>
      </c>
      <c r="M26" s="33" t="n">
        <f aca="false">M25-E27</f>
        <v>54739.1483562879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customFormat="false" ht="13.8" hidden="false" customHeight="false" outlineLevel="0" collapsed="false">
      <c r="A27" s="34" t="s">
        <v>57</v>
      </c>
      <c r="B27" s="4"/>
      <c r="C27" s="4"/>
      <c r="D27" s="4"/>
      <c r="E27" s="15" t="n">
        <f aca="false">E25*(0.25/100 + 0.075/100)*1.14</f>
        <v>185.25</v>
      </c>
      <c r="F27" s="15" t="n">
        <f aca="false">F25*(0.25/100 + 0.075/100)*1.14</f>
        <v>0</v>
      </c>
      <c r="G27" s="15" t="n">
        <f aca="false">G25*(0.25/100 + 0.075/100)*1.14</f>
        <v>185.25</v>
      </c>
      <c r="H27" s="15" t="n">
        <f aca="false">H25*(0.25/100 + 0.075/100)*1.14</f>
        <v>7.77272727272727</v>
      </c>
      <c r="I27" s="15"/>
      <c r="J27" s="15" t="n">
        <f aca="false">J25*(0.25/100 + 0.075/100)*1.14</f>
        <v>16.8409090909091</v>
      </c>
      <c r="K27" s="15" t="n">
        <f aca="false">K25*(0.25/100 + 0.075/100)*1.14</f>
        <v>186.545454545455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customFormat="false" ht="13.8" hidden="false" customHeight="false" outlineLevel="0" collapsed="false">
      <c r="A28" s="34"/>
      <c r="B28" s="4"/>
      <c r="C28" s="4"/>
      <c r="D28" s="4"/>
      <c r="E28" s="15"/>
      <c r="F28" s="15"/>
      <c r="G28" s="15"/>
      <c r="H28" s="15"/>
      <c r="I28" s="15"/>
      <c r="J28" s="15"/>
      <c r="K28" s="15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customFormat="false" ht="13.8" hidden="false" customHeight="false" outlineLevel="0" collapsed="false">
      <c r="A29" s="4"/>
      <c r="B29" s="7" t="s">
        <v>58</v>
      </c>
      <c r="C29" s="7" t="s">
        <v>59</v>
      </c>
      <c r="D29" s="35"/>
      <c r="E29" s="2"/>
      <c r="F29" s="2"/>
      <c r="G29" s="2"/>
      <c r="H29" s="2"/>
      <c r="I29" s="2"/>
      <c r="J29" s="2" t="s">
        <v>60</v>
      </c>
      <c r="K29" s="16" t="n">
        <f aca="false">K26+O25</f>
        <v>50477.7902097902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customFormat="false" ht="13.8" hidden="false" customHeight="false" outlineLevel="0" collapsed="false">
      <c r="A30" s="36" t="s">
        <v>61</v>
      </c>
      <c r="B30" s="37" t="n">
        <f aca="false">L26-$E$26</f>
        <v>5294.56783199456</v>
      </c>
      <c r="C30" s="37" t="n">
        <f aca="false">M26-$E$26</f>
        <v>4924.39835628786</v>
      </c>
      <c r="D30" s="38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customFormat="false" ht="13.8" hidden="false" customHeight="false" outlineLevel="0" collapsed="false">
      <c r="A31" s="39" t="s">
        <v>62</v>
      </c>
      <c r="B31" s="40" t="n">
        <f aca="false">B30/$B$1</f>
        <v>0.105891356639891</v>
      </c>
      <c r="C31" s="40" t="n">
        <f aca="false">C30/B1</f>
        <v>0.0984879671257573</v>
      </c>
      <c r="D31" s="41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customFormat="false" ht="13.8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customFormat="false" ht="13.8" hidden="false" customHeight="false" outlineLevel="0" collapsed="false">
      <c r="A34" s="2"/>
      <c r="B34" s="2"/>
      <c r="C34" s="2"/>
      <c r="D34" s="2"/>
      <c r="E34" s="2" t="s">
        <v>63</v>
      </c>
      <c r="F34" s="2" t="n">
        <f aca="false">SUM(C9:C11)</f>
        <v>35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customFormat="false" ht="13.8" hidden="false" customHeight="false" outlineLevel="0" collapsed="false">
      <c r="A35" s="2"/>
      <c r="B35" s="2"/>
      <c r="C35" s="2"/>
      <c r="D35" s="2"/>
      <c r="E35" s="2" t="s">
        <v>64</v>
      </c>
      <c r="F35" s="2" t="n">
        <f aca="false">SUM(C12:C16)</f>
        <v>42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customFormat="false" ht="13.8" hidden="false" customHeight="false" outlineLevel="0" collapsed="false">
      <c r="A37" s="2"/>
      <c r="B37" s="2"/>
      <c r="C37" s="2"/>
      <c r="D37" s="2"/>
      <c r="E37" s="2" t="s">
        <v>65</v>
      </c>
      <c r="F37" s="2" t="n">
        <f aca="false">SUM(C17:C18)</f>
        <v>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customFormat="false" ht="13.8" hidden="false" customHeight="false" outlineLevel="0" collapsed="false">
      <c r="A39" s="2"/>
      <c r="B39" s="2"/>
      <c r="C39" s="2"/>
      <c r="D39" s="2"/>
      <c r="E39" s="2"/>
      <c r="F39" s="2" t="n">
        <f aca="false">SUM(F34:F37)</f>
        <v>90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</row>
    <row r="1033" customFormat="false" ht="1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</row>
    <row r="1034" customFormat="false" ht="1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</row>
    <row r="1035" customFormat="false" ht="1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</row>
    <row r="1036" customFormat="false" ht="1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</row>
    <row r="1037" customFormat="false" ht="1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</row>
    <row r="1038" customFormat="false" ht="1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</row>
    <row r="1039" customFormat="false" ht="1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</row>
    <row r="1040" customFormat="false" ht="15" hidden="false" customHeight="false" outlineLevel="0" collapsed="false"/>
    <row r="1041" customFormat="false" ht="15" hidden="false" customHeight="false" outlineLevel="0" collapsed="false"/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  <row r="1556" customFormat="false" ht="15" hidden="false" customHeight="false" outlineLevel="0" collapsed="false"/>
    <row r="1557" customFormat="false" ht="15" hidden="false" customHeight="false" outlineLevel="0" collapsed="false"/>
    <row r="1558" customFormat="false" ht="15" hidden="false" customHeight="false" outlineLevel="0" collapsed="false"/>
    <row r="1559" customFormat="false" ht="15" hidden="false" customHeight="false" outlineLevel="0" collapsed="false"/>
    <row r="1560" customFormat="false" ht="15" hidden="false" customHeight="false" outlineLevel="0" collapsed="false"/>
    <row r="1561" customFormat="false" ht="15" hidden="false" customHeight="false" outlineLevel="0" collapsed="false"/>
    <row r="1562" customFormat="false" ht="15" hidden="false" customHeight="false" outlineLevel="0" collapsed="false"/>
    <row r="1563" customFormat="false" ht="15" hidden="false" customHeight="false" outlineLevel="0" collapsed="false"/>
    <row r="1564" customFormat="false" ht="15" hidden="false" customHeight="false" outlineLevel="0" collapsed="false"/>
    <row r="1565" customFormat="false" ht="15" hidden="false" customHeight="false" outlineLevel="0" collapsed="false"/>
    <row r="1566" customFormat="false" ht="15" hidden="false" customHeight="false" outlineLevel="0" collapsed="false"/>
    <row r="1567" customFormat="false" ht="15" hidden="false" customHeight="false" outlineLevel="0" collapsed="false"/>
    <row r="1568" customFormat="false" ht="15" hidden="false" customHeight="false" outlineLevel="0" collapsed="false"/>
    <row r="1569" customFormat="false" ht="15" hidden="false" customHeight="false" outlineLevel="0" collapsed="false"/>
    <row r="1570" customFormat="false" ht="15" hidden="false" customHeight="false" outlineLevel="0" collapsed="false"/>
    <row r="1571" customFormat="false" ht="15" hidden="false" customHeight="false" outlineLevel="0" collapsed="false"/>
    <row r="1572" customFormat="false" ht="15" hidden="false" customHeight="false" outlineLevel="0" collapsed="false"/>
    <row r="1573" customFormat="false" ht="15" hidden="false" customHeight="false" outlineLevel="0" collapsed="false"/>
    <row r="1574" customFormat="false" ht="15" hidden="false" customHeight="false" outlineLevel="0" collapsed="false"/>
    <row r="1575" customFormat="false" ht="15" hidden="false" customHeight="false" outlineLevel="0" collapsed="false"/>
    <row r="1576" customFormat="false" ht="15" hidden="false" customHeight="false" outlineLevel="0" collapsed="false"/>
    <row r="1577" customFormat="false" ht="15" hidden="false" customHeight="false" outlineLevel="0" collapsed="false"/>
    <row r="1578" customFormat="false" ht="15" hidden="false" customHeight="false" outlineLevel="0" collapsed="false"/>
    <row r="1579" customFormat="false" ht="15" hidden="false" customHeight="false" outlineLevel="0" collapsed="false"/>
    <row r="1580" customFormat="false" ht="15" hidden="false" customHeight="false" outlineLevel="0" collapsed="false"/>
    <row r="1581" customFormat="false" ht="15" hidden="false" customHeight="false" outlineLevel="0" collapsed="false"/>
    <row r="1582" customFormat="false" ht="15" hidden="false" customHeight="false" outlineLevel="0" collapsed="false"/>
    <row r="1583" customFormat="false" ht="15" hidden="false" customHeight="false" outlineLevel="0" collapsed="false"/>
    <row r="1584" customFormat="false" ht="15" hidden="false" customHeight="false" outlineLevel="0" collapsed="false"/>
    <row r="1585" customFormat="false" ht="15" hidden="false" customHeight="false" outlineLevel="0" collapsed="false"/>
    <row r="1586" customFormat="false" ht="15" hidden="false" customHeight="false" outlineLevel="0" collapsed="false"/>
    <row r="1587" customFormat="false" ht="15" hidden="false" customHeight="false" outlineLevel="0" collapsed="false"/>
    <row r="1588" customFormat="false" ht="15" hidden="false" customHeight="false" outlineLevel="0" collapsed="false"/>
    <row r="1589" customFormat="false" ht="15" hidden="false" customHeight="false" outlineLevel="0" collapsed="false"/>
    <row r="1590" customFormat="false" ht="15" hidden="false" customHeight="false" outlineLevel="0" collapsed="false"/>
    <row r="1591" customFormat="false" ht="15" hidden="false" customHeight="false" outlineLevel="0" collapsed="false"/>
    <row r="1592" customFormat="false" ht="15" hidden="false" customHeight="false" outlineLevel="0" collapsed="false"/>
    <row r="1593" customFormat="false" ht="15" hidden="false" customHeight="false" outlineLevel="0" collapsed="false"/>
    <row r="1594" customFormat="false" ht="15" hidden="false" customHeight="false" outlineLevel="0" collapsed="false"/>
    <row r="1595" customFormat="false" ht="15" hidden="false" customHeight="false" outlineLevel="0" collapsed="false"/>
    <row r="1596" customFormat="false" ht="15" hidden="false" customHeight="false" outlineLevel="0" collapsed="false"/>
    <row r="1597" customFormat="false" ht="15" hidden="false" customHeight="false" outlineLevel="0" collapsed="false"/>
    <row r="1598" customFormat="false" ht="15" hidden="false" customHeight="false" outlineLevel="0" collapsed="false"/>
    <row r="1599" customFormat="false" ht="15" hidden="false" customHeight="false" outlineLevel="0" collapsed="false"/>
    <row r="1600" customFormat="false" ht="15" hidden="false" customHeight="false" outlineLevel="0" collapsed="false"/>
    <row r="1601" customFormat="false" ht="15" hidden="false" customHeight="false" outlineLevel="0" collapsed="false"/>
    <row r="1602" customFormat="false" ht="15" hidden="false" customHeight="false" outlineLevel="0" collapsed="false"/>
    <row r="1603" customFormat="false" ht="15" hidden="false" customHeight="false" outlineLevel="0" collapsed="false"/>
    <row r="1604" customFormat="false" ht="15" hidden="false" customHeight="false" outlineLevel="0" collapsed="false"/>
    <row r="1605" customFormat="false" ht="15" hidden="false" customHeight="false" outlineLevel="0" collapsed="false"/>
    <row r="1606" customFormat="false" ht="15" hidden="false" customHeight="false" outlineLevel="0" collapsed="false"/>
    <row r="1607" customFormat="false" ht="15" hidden="false" customHeight="false" outlineLevel="0" collapsed="false"/>
    <row r="1608" customFormat="false" ht="15" hidden="false" customHeight="false" outlineLevel="0" collapsed="false"/>
    <row r="1609" customFormat="false" ht="15" hidden="false" customHeight="false" outlineLevel="0" collapsed="false"/>
    <row r="1610" customFormat="false" ht="15" hidden="false" customHeight="false" outlineLevel="0" collapsed="false"/>
    <row r="1611" customFormat="false" ht="15" hidden="false" customHeight="false" outlineLevel="0" collapsed="false"/>
    <row r="1612" customFormat="false" ht="15" hidden="false" customHeight="false" outlineLevel="0" collapsed="false"/>
    <row r="1613" customFormat="false" ht="15" hidden="false" customHeight="false" outlineLevel="0" collapsed="false"/>
    <row r="1614" customFormat="false" ht="15" hidden="false" customHeight="false" outlineLevel="0" collapsed="false"/>
    <row r="1615" customFormat="false" ht="15" hidden="false" customHeight="false" outlineLevel="0" collapsed="false"/>
    <row r="1616" customFormat="false" ht="15" hidden="false" customHeight="false" outlineLevel="0" collapsed="false"/>
    <row r="1617" customFormat="false" ht="15" hidden="false" customHeight="false" outlineLevel="0" collapsed="false"/>
    <row r="1618" customFormat="false" ht="15" hidden="false" customHeight="false" outlineLevel="0" collapsed="false"/>
    <row r="1619" customFormat="false" ht="15" hidden="false" customHeight="false" outlineLevel="0" collapsed="false"/>
    <row r="1620" customFormat="false" ht="15" hidden="false" customHeight="false" outlineLevel="0" collapsed="false"/>
    <row r="1621" customFormat="false" ht="15" hidden="false" customHeight="false" outlineLevel="0" collapsed="false"/>
    <row r="1622" customFormat="false" ht="15" hidden="false" customHeight="false" outlineLevel="0" collapsed="false"/>
    <row r="1623" customFormat="false" ht="15" hidden="false" customHeight="false" outlineLevel="0" collapsed="false"/>
    <row r="1624" customFormat="false" ht="15" hidden="false" customHeight="false" outlineLevel="0" collapsed="false"/>
    <row r="1625" customFormat="false" ht="15" hidden="false" customHeight="false" outlineLevel="0" collapsed="false"/>
    <row r="1626" customFormat="false" ht="15" hidden="false" customHeight="false" outlineLevel="0" collapsed="false"/>
    <row r="1627" customFormat="false" ht="15" hidden="false" customHeight="false" outlineLevel="0" collapsed="false"/>
    <row r="1628" customFormat="false" ht="15" hidden="false" customHeight="false" outlineLevel="0" collapsed="false"/>
    <row r="1629" customFormat="false" ht="15" hidden="false" customHeight="false" outlineLevel="0" collapsed="false"/>
    <row r="1630" customFormat="false" ht="15" hidden="false" customHeight="false" outlineLevel="0" collapsed="false"/>
    <row r="1631" customFormat="false" ht="15" hidden="false" customHeight="false" outlineLevel="0" collapsed="false"/>
    <row r="1632" customFormat="false" ht="15" hidden="false" customHeight="false" outlineLevel="0" collapsed="false"/>
    <row r="1633" customFormat="false" ht="15" hidden="false" customHeight="false" outlineLevel="0" collapsed="false"/>
    <row r="1634" customFormat="false" ht="15" hidden="false" customHeight="false" outlineLevel="0" collapsed="false"/>
    <row r="1635" customFormat="false" ht="15" hidden="false" customHeight="false" outlineLevel="0" collapsed="false"/>
    <row r="1636" customFormat="false" ht="15" hidden="false" customHeight="false" outlineLevel="0" collapsed="false"/>
    <row r="1637" customFormat="false" ht="15" hidden="false" customHeight="false" outlineLevel="0" collapsed="false"/>
    <row r="1638" customFormat="false" ht="15" hidden="false" customHeight="false" outlineLevel="0" collapsed="false"/>
    <row r="1639" customFormat="false" ht="15" hidden="false" customHeight="false" outlineLevel="0" collapsed="false"/>
    <row r="1640" customFormat="false" ht="15" hidden="false" customHeight="false" outlineLevel="0" collapsed="false"/>
    <row r="1641" customFormat="false" ht="15" hidden="false" customHeight="false" outlineLevel="0" collapsed="false"/>
    <row r="1642" customFormat="false" ht="15" hidden="false" customHeight="false" outlineLevel="0" collapsed="false"/>
    <row r="1643" customFormat="false" ht="15" hidden="false" customHeight="false" outlineLevel="0" collapsed="false"/>
    <row r="1644" customFormat="false" ht="15" hidden="false" customHeight="false" outlineLevel="0" collapsed="false"/>
    <row r="1645" customFormat="false" ht="15" hidden="false" customHeight="false" outlineLevel="0" collapsed="false"/>
    <row r="1646" customFormat="false" ht="15" hidden="false" customHeight="false" outlineLevel="0" collapsed="false"/>
    <row r="1647" customFormat="false" ht="15" hidden="false" customHeight="false" outlineLevel="0" collapsed="false"/>
    <row r="1648" customFormat="false" ht="15" hidden="false" customHeight="false" outlineLevel="0" collapsed="false"/>
    <row r="1649" customFormat="false" ht="15" hidden="false" customHeight="false" outlineLevel="0" collapsed="false"/>
    <row r="1650" customFormat="false" ht="15" hidden="false" customHeight="false" outlineLevel="0" collapsed="false"/>
    <row r="1651" customFormat="false" ht="15" hidden="false" customHeight="false" outlineLevel="0" collapsed="false"/>
    <row r="1652" customFormat="false" ht="15" hidden="false" customHeight="false" outlineLevel="0" collapsed="false"/>
    <row r="1653" customFormat="false" ht="15" hidden="false" customHeight="false" outlineLevel="0" collapsed="false"/>
    <row r="1654" customFormat="false" ht="15" hidden="false" customHeight="false" outlineLevel="0" collapsed="false"/>
    <row r="1655" customFormat="false" ht="15" hidden="false" customHeight="false" outlineLevel="0" collapsed="false"/>
    <row r="1656" customFormat="false" ht="15" hidden="false" customHeight="false" outlineLevel="0" collapsed="false"/>
    <row r="1657" customFormat="false" ht="15" hidden="false" customHeight="false" outlineLevel="0" collapsed="false"/>
    <row r="1658" customFormat="false" ht="15" hidden="false" customHeight="false" outlineLevel="0" collapsed="false"/>
    <row r="1659" customFormat="false" ht="15" hidden="false" customHeight="false" outlineLevel="0" collapsed="false"/>
    <row r="1660" customFormat="false" ht="15" hidden="false" customHeight="false" outlineLevel="0" collapsed="false"/>
    <row r="1661" customFormat="false" ht="15" hidden="false" customHeight="false" outlineLevel="0" collapsed="false"/>
    <row r="1662" customFormat="false" ht="15" hidden="false" customHeight="false" outlineLevel="0" collapsed="false"/>
    <row r="1663" customFormat="false" ht="15" hidden="false" customHeight="false" outlineLevel="0" collapsed="false"/>
    <row r="1664" customFormat="false" ht="15" hidden="false" customHeight="false" outlineLevel="0" collapsed="false"/>
    <row r="1665" customFormat="false" ht="15" hidden="false" customHeight="false" outlineLevel="0" collapsed="false"/>
    <row r="1666" customFormat="false" ht="15" hidden="false" customHeight="false" outlineLevel="0" collapsed="false"/>
    <row r="1667" customFormat="false" ht="15" hidden="false" customHeight="false" outlineLevel="0" collapsed="false"/>
    <row r="1668" customFormat="false" ht="15" hidden="false" customHeight="false" outlineLevel="0" collapsed="false"/>
    <row r="1669" customFormat="false" ht="15" hidden="false" customHeight="false" outlineLevel="0" collapsed="false"/>
    <row r="1670" customFormat="false" ht="15" hidden="false" customHeight="false" outlineLevel="0" collapsed="false"/>
    <row r="1671" customFormat="false" ht="15" hidden="false" customHeight="false" outlineLevel="0" collapsed="false"/>
    <row r="1672" customFormat="false" ht="15" hidden="false" customHeight="false" outlineLevel="0" collapsed="false"/>
    <row r="1673" customFormat="false" ht="15" hidden="false" customHeight="false" outlineLevel="0" collapsed="false"/>
    <row r="1674" customFormat="false" ht="15" hidden="false" customHeight="false" outlineLevel="0" collapsed="false"/>
    <row r="1675" customFormat="false" ht="15" hidden="false" customHeight="false" outlineLevel="0" collapsed="false"/>
    <row r="1676" customFormat="false" ht="15" hidden="false" customHeight="false" outlineLevel="0" collapsed="false"/>
    <row r="1677" customFormat="false" ht="15" hidden="false" customHeight="false" outlineLevel="0" collapsed="false"/>
    <row r="1678" customFormat="false" ht="15" hidden="false" customHeight="false" outlineLevel="0" collapsed="false"/>
    <row r="1679" customFormat="false" ht="15" hidden="false" customHeight="false" outlineLevel="0" collapsed="false"/>
    <row r="1680" customFormat="false" ht="15" hidden="false" customHeight="false" outlineLevel="0" collapsed="false"/>
    <row r="1681" customFormat="false" ht="15" hidden="false" customHeight="false" outlineLevel="0" collapsed="false"/>
    <row r="1682" customFormat="false" ht="15" hidden="false" customHeight="false" outlineLevel="0" collapsed="false"/>
    <row r="1683" customFormat="false" ht="15" hidden="false" customHeight="false" outlineLevel="0" collapsed="false"/>
    <row r="1684" customFormat="false" ht="15" hidden="false" customHeight="false" outlineLevel="0" collapsed="false"/>
    <row r="1685" customFormat="false" ht="15" hidden="false" customHeight="false" outlineLevel="0" collapsed="false"/>
    <row r="1686" customFormat="false" ht="15" hidden="false" customHeight="false" outlineLevel="0" collapsed="false"/>
    <row r="1687" customFormat="false" ht="15" hidden="false" customHeight="false" outlineLevel="0" collapsed="false"/>
    <row r="1688" customFormat="false" ht="15" hidden="false" customHeight="false" outlineLevel="0" collapsed="false"/>
    <row r="1689" customFormat="false" ht="15" hidden="false" customHeight="false" outlineLevel="0" collapsed="false"/>
    <row r="1690" customFormat="false" ht="15" hidden="false" customHeight="false" outlineLevel="0" collapsed="false"/>
    <row r="1691" customFormat="false" ht="15" hidden="false" customHeight="false" outlineLevel="0" collapsed="false"/>
    <row r="1692" customFormat="false" ht="15" hidden="false" customHeight="false" outlineLevel="0" collapsed="false"/>
    <row r="1693" customFormat="false" ht="15" hidden="false" customHeight="false" outlineLevel="0" collapsed="false"/>
    <row r="1694" customFormat="false" ht="15" hidden="false" customHeight="false" outlineLevel="0" collapsed="false"/>
    <row r="1695" customFormat="false" ht="15" hidden="false" customHeight="false" outlineLevel="0" collapsed="false"/>
    <row r="1696" customFormat="false" ht="15" hidden="false" customHeight="false" outlineLevel="0" collapsed="false"/>
    <row r="1697" customFormat="false" ht="15" hidden="false" customHeight="false" outlineLevel="0" collapsed="false"/>
    <row r="1698" customFormat="false" ht="15" hidden="false" customHeight="false" outlineLevel="0" collapsed="false"/>
    <row r="1699" customFormat="false" ht="15" hidden="false" customHeight="false" outlineLevel="0" collapsed="false"/>
    <row r="1700" customFormat="false" ht="15" hidden="false" customHeight="false" outlineLevel="0" collapsed="false"/>
    <row r="1701" customFormat="false" ht="15" hidden="false" customHeight="false" outlineLevel="0" collapsed="false"/>
    <row r="1702" customFormat="false" ht="15" hidden="false" customHeight="false" outlineLevel="0" collapsed="false"/>
    <row r="1703" customFormat="false" ht="15" hidden="false" customHeight="false" outlineLevel="0" collapsed="false"/>
    <row r="1704" customFormat="false" ht="15" hidden="false" customHeight="false" outlineLevel="0" collapsed="false"/>
    <row r="1705" customFormat="false" ht="15" hidden="false" customHeight="false" outlineLevel="0" collapsed="false"/>
    <row r="1706" customFormat="false" ht="15" hidden="false" customHeight="false" outlineLevel="0" collapsed="false"/>
    <row r="1707" customFormat="false" ht="15" hidden="false" customHeight="false" outlineLevel="0" collapsed="false"/>
    <row r="1708" customFormat="false" ht="15" hidden="false" customHeight="false" outlineLevel="0" collapsed="false"/>
    <row r="1709" customFormat="false" ht="15" hidden="false" customHeight="false" outlineLevel="0" collapsed="false"/>
    <row r="1710" customFormat="false" ht="15" hidden="false" customHeight="false" outlineLevel="0" collapsed="false"/>
    <row r="1711" customFormat="false" ht="15" hidden="false" customHeight="false" outlineLevel="0" collapsed="false"/>
    <row r="1712" customFormat="false" ht="15" hidden="false" customHeight="false" outlineLevel="0" collapsed="false"/>
    <row r="1713" customFormat="false" ht="15" hidden="false" customHeight="false" outlineLevel="0" collapsed="false"/>
    <row r="1714" customFormat="false" ht="15" hidden="false" customHeight="false" outlineLevel="0" collapsed="false"/>
    <row r="1715" customFormat="false" ht="15" hidden="false" customHeight="false" outlineLevel="0" collapsed="false"/>
    <row r="1716" customFormat="false" ht="15" hidden="false" customHeight="false" outlineLevel="0" collapsed="false"/>
    <row r="1717" customFormat="false" ht="15" hidden="false" customHeight="false" outlineLevel="0" collapsed="false"/>
    <row r="1718" customFormat="false" ht="15" hidden="false" customHeight="false" outlineLevel="0" collapsed="false"/>
    <row r="1719" customFormat="false" ht="15" hidden="false" customHeight="false" outlineLevel="0" collapsed="false"/>
    <row r="1720" customFormat="false" ht="15" hidden="false" customHeight="false" outlineLevel="0" collapsed="false"/>
    <row r="1721" customFormat="false" ht="15" hidden="false" customHeight="false" outlineLevel="0" collapsed="false"/>
    <row r="1722" customFormat="false" ht="15" hidden="false" customHeight="false" outlineLevel="0" collapsed="false"/>
    <row r="1723" customFormat="false" ht="15" hidden="false" customHeight="false" outlineLevel="0" collapsed="false"/>
    <row r="1724" customFormat="false" ht="15" hidden="false" customHeight="false" outlineLevel="0" collapsed="false"/>
    <row r="1725" customFormat="false" ht="15" hidden="false" customHeight="false" outlineLevel="0" collapsed="false"/>
    <row r="1726" customFormat="false" ht="15" hidden="false" customHeight="false" outlineLevel="0" collapsed="false"/>
    <row r="1727" customFormat="false" ht="15" hidden="false" customHeight="false" outlineLevel="0" collapsed="false"/>
    <row r="1728" customFormat="false" ht="15" hidden="false" customHeight="false" outlineLevel="0" collapsed="false"/>
    <row r="1729" customFormat="false" ht="15" hidden="false" customHeight="false" outlineLevel="0" collapsed="false"/>
    <row r="1730" customFormat="false" ht="15" hidden="false" customHeight="false" outlineLevel="0" collapsed="false"/>
    <row r="1731" customFormat="false" ht="15" hidden="false" customHeight="false" outlineLevel="0" collapsed="false"/>
    <row r="1732" customFormat="false" ht="15" hidden="false" customHeight="false" outlineLevel="0" collapsed="false"/>
    <row r="1733" customFormat="false" ht="15" hidden="false" customHeight="false" outlineLevel="0" collapsed="false"/>
    <row r="1734" customFormat="false" ht="15" hidden="false" customHeight="false" outlineLevel="0" collapsed="false"/>
    <row r="1735" customFormat="false" ht="15" hidden="false" customHeight="false" outlineLevel="0" collapsed="false"/>
    <row r="1736" customFormat="false" ht="15" hidden="false" customHeight="false" outlineLevel="0" collapsed="false"/>
    <row r="1737" customFormat="false" ht="15" hidden="false" customHeight="false" outlineLevel="0" collapsed="false"/>
    <row r="1738" customFormat="false" ht="15" hidden="false" customHeight="false" outlineLevel="0" collapsed="false"/>
    <row r="1739" customFormat="false" ht="15" hidden="false" customHeight="false" outlineLevel="0" collapsed="false"/>
    <row r="1740" customFormat="false" ht="15" hidden="false" customHeight="false" outlineLevel="0" collapsed="false"/>
    <row r="1741" customFormat="false" ht="15" hidden="false" customHeight="false" outlineLevel="0" collapsed="false"/>
    <row r="1742" customFormat="false" ht="15" hidden="false" customHeight="false" outlineLevel="0" collapsed="false"/>
    <row r="1743" customFormat="false" ht="15" hidden="false" customHeight="false" outlineLevel="0" collapsed="false"/>
    <row r="1744" customFormat="false" ht="15" hidden="false" customHeight="false" outlineLevel="0" collapsed="false"/>
    <row r="1745" customFormat="false" ht="15" hidden="false" customHeight="false" outlineLevel="0" collapsed="false"/>
    <row r="1746" customFormat="false" ht="15" hidden="false" customHeight="false" outlineLevel="0" collapsed="false"/>
    <row r="1747" customFormat="false" ht="15" hidden="false" customHeight="false" outlineLevel="0" collapsed="false"/>
    <row r="1748" customFormat="false" ht="15" hidden="false" customHeight="false" outlineLevel="0" collapsed="false"/>
    <row r="1749" customFormat="false" ht="15" hidden="false" customHeight="false" outlineLevel="0" collapsed="false"/>
    <row r="1750" customFormat="false" ht="15" hidden="false" customHeight="false" outlineLevel="0" collapsed="false"/>
    <row r="1751" customFormat="false" ht="15" hidden="false" customHeight="false" outlineLevel="0" collapsed="false"/>
    <row r="1752" customFormat="false" ht="15" hidden="false" customHeight="false" outlineLevel="0" collapsed="false"/>
    <row r="1753" customFormat="false" ht="15" hidden="false" customHeight="false" outlineLevel="0" collapsed="false"/>
    <row r="1754" customFormat="false" ht="15" hidden="false" customHeight="false" outlineLevel="0" collapsed="false"/>
    <row r="1755" customFormat="false" ht="15" hidden="false" customHeight="false" outlineLevel="0" collapsed="false"/>
    <row r="1756" customFormat="false" ht="15" hidden="false" customHeight="false" outlineLevel="0" collapsed="false"/>
    <row r="1757" customFormat="false" ht="15" hidden="false" customHeight="false" outlineLevel="0" collapsed="false"/>
    <row r="1758" customFormat="false" ht="15" hidden="false" customHeight="false" outlineLevel="0" collapsed="false"/>
    <row r="1759" customFormat="false" ht="15" hidden="false" customHeight="false" outlineLevel="0" collapsed="false"/>
    <row r="1760" customFormat="false" ht="15" hidden="false" customHeight="false" outlineLevel="0" collapsed="false"/>
    <row r="1761" customFormat="false" ht="15" hidden="false" customHeight="false" outlineLevel="0" collapsed="false"/>
    <row r="1762" customFormat="false" ht="15" hidden="false" customHeight="false" outlineLevel="0" collapsed="false"/>
    <row r="1763" customFormat="false" ht="15" hidden="false" customHeight="false" outlineLevel="0" collapsed="false"/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5" hidden="false" customHeight="false" outlineLevel="0" collapsed="false"/>
    <row r="1768" customFormat="false" ht="15" hidden="false" customHeight="false" outlineLevel="0" collapsed="false"/>
    <row r="1769" customFormat="false" ht="15" hidden="false" customHeight="false" outlineLevel="0" collapsed="false"/>
    <row r="1770" customFormat="false" ht="15" hidden="false" customHeight="false" outlineLevel="0" collapsed="false"/>
    <row r="1771" customFormat="false" ht="15" hidden="false" customHeight="false" outlineLevel="0" collapsed="false"/>
    <row r="1772" customFormat="false" ht="15" hidden="false" customHeight="false" outlineLevel="0" collapsed="false"/>
    <row r="1773" customFormat="false" ht="15" hidden="false" customHeight="false" outlineLevel="0" collapsed="false"/>
    <row r="1774" customFormat="false" ht="15" hidden="false" customHeight="false" outlineLevel="0" collapsed="false"/>
    <row r="1775" customFormat="false" ht="15" hidden="false" customHeight="false" outlineLevel="0" collapsed="false"/>
    <row r="1776" customFormat="false" ht="15" hidden="false" customHeight="false" outlineLevel="0" collapsed="false"/>
    <row r="1777" customFormat="false" ht="15" hidden="false" customHeight="false" outlineLevel="0" collapsed="false"/>
    <row r="1778" customFormat="false" ht="15" hidden="false" customHeight="false" outlineLevel="0" collapsed="false"/>
    <row r="1779" customFormat="false" ht="15" hidden="false" customHeight="false" outlineLevel="0" collapsed="false"/>
    <row r="1780" customFormat="false" ht="15" hidden="false" customHeight="false" outlineLevel="0" collapsed="false"/>
    <row r="1781" customFormat="false" ht="15" hidden="false" customHeight="false" outlineLevel="0" collapsed="false"/>
    <row r="1782" customFormat="false" ht="15" hidden="false" customHeight="false" outlineLevel="0" collapsed="false"/>
    <row r="1783" customFormat="false" ht="15" hidden="false" customHeight="false" outlineLevel="0" collapsed="false"/>
    <row r="1784" customFormat="false" ht="15" hidden="false" customHeight="false" outlineLevel="0" collapsed="false"/>
    <row r="1785" customFormat="false" ht="15" hidden="false" customHeight="false" outlineLevel="0" collapsed="false"/>
    <row r="1786" customFormat="false" ht="15" hidden="false" customHeight="false" outlineLevel="0" collapsed="false"/>
    <row r="1787" customFormat="false" ht="15" hidden="false" customHeight="false" outlineLevel="0" collapsed="false"/>
    <row r="1788" customFormat="false" ht="15" hidden="false" customHeight="false" outlineLevel="0" collapsed="false"/>
    <row r="1789" customFormat="false" ht="15" hidden="false" customHeight="false" outlineLevel="0" collapsed="false"/>
    <row r="1790" customFormat="false" ht="15" hidden="false" customHeight="false" outlineLevel="0" collapsed="false"/>
    <row r="1791" customFormat="false" ht="15" hidden="false" customHeight="false" outlineLevel="0" collapsed="false"/>
    <row r="1792" customFormat="false" ht="15" hidden="false" customHeight="false" outlineLevel="0" collapsed="false"/>
    <row r="1793" customFormat="false" ht="15" hidden="false" customHeight="false" outlineLevel="0" collapsed="false"/>
    <row r="1794" customFormat="false" ht="15" hidden="false" customHeight="false" outlineLevel="0" collapsed="false"/>
    <row r="1795" customFormat="false" ht="15" hidden="false" customHeight="false" outlineLevel="0" collapsed="false"/>
    <row r="1796" customFormat="false" ht="15" hidden="false" customHeight="false" outlineLevel="0" collapsed="false"/>
    <row r="1797" customFormat="false" ht="15" hidden="false" customHeight="false" outlineLevel="0" collapsed="false"/>
    <row r="1798" customFormat="false" ht="15" hidden="false" customHeight="false" outlineLevel="0" collapsed="false"/>
    <row r="1799" customFormat="false" ht="15" hidden="false" customHeight="false" outlineLevel="0" collapsed="false"/>
    <row r="1800" customFormat="false" ht="15" hidden="false" customHeight="false" outlineLevel="0" collapsed="false"/>
    <row r="1801" customFormat="false" ht="15" hidden="false" customHeight="false" outlineLevel="0" collapsed="false"/>
    <row r="1802" customFormat="false" ht="15" hidden="false" customHeight="false" outlineLevel="0" collapsed="false"/>
    <row r="1803" customFormat="false" ht="15" hidden="false" customHeight="false" outlineLevel="0" collapsed="false"/>
    <row r="1804" customFormat="false" ht="15" hidden="false" customHeight="false" outlineLevel="0" collapsed="false"/>
    <row r="1805" customFormat="false" ht="15" hidden="false" customHeight="false" outlineLevel="0" collapsed="false"/>
    <row r="1806" customFormat="false" ht="15" hidden="false" customHeight="false" outlineLevel="0" collapsed="false"/>
    <row r="1807" customFormat="false" ht="15" hidden="false" customHeight="false" outlineLevel="0" collapsed="false"/>
    <row r="1808" customFormat="false" ht="15" hidden="false" customHeight="false" outlineLevel="0" collapsed="false"/>
    <row r="1809" customFormat="false" ht="15" hidden="false" customHeight="false" outlineLevel="0" collapsed="false"/>
    <row r="1810" customFormat="false" ht="15" hidden="false" customHeight="false" outlineLevel="0" collapsed="false"/>
    <row r="1811" customFormat="false" ht="15" hidden="false" customHeight="false" outlineLevel="0" collapsed="false"/>
    <row r="1812" customFormat="false" ht="15" hidden="false" customHeight="false" outlineLevel="0" collapsed="false"/>
    <row r="1813" customFormat="false" ht="15" hidden="false" customHeight="false" outlineLevel="0" collapsed="false"/>
    <row r="1814" customFormat="false" ht="15" hidden="false" customHeight="false" outlineLevel="0" collapsed="false"/>
    <row r="1815" customFormat="false" ht="15" hidden="false" customHeight="false" outlineLevel="0" collapsed="false"/>
    <row r="1816" customFormat="false" ht="15" hidden="false" customHeight="false" outlineLevel="0" collapsed="false"/>
    <row r="1817" customFormat="false" ht="15" hidden="false" customHeight="false" outlineLevel="0" collapsed="false"/>
    <row r="1818" customFormat="false" ht="15" hidden="false" customHeight="false" outlineLevel="0" collapsed="false"/>
    <row r="1819" customFormat="false" ht="15" hidden="false" customHeight="false" outlineLevel="0" collapsed="false"/>
    <row r="1820" customFormat="false" ht="15" hidden="false" customHeight="false" outlineLevel="0" collapsed="false"/>
    <row r="1821" customFormat="false" ht="15" hidden="false" customHeight="false" outlineLevel="0" collapsed="false"/>
    <row r="1822" customFormat="false" ht="15" hidden="false" customHeight="false" outlineLevel="0" collapsed="false"/>
    <row r="1823" customFormat="false" ht="15" hidden="false" customHeight="false" outlineLevel="0" collapsed="false"/>
    <row r="1824" customFormat="false" ht="15" hidden="false" customHeight="false" outlineLevel="0" collapsed="false"/>
    <row r="1825" customFormat="false" ht="15" hidden="false" customHeight="false" outlineLevel="0" collapsed="false"/>
    <row r="1826" customFormat="false" ht="15" hidden="false" customHeight="false" outlineLevel="0" collapsed="false"/>
    <row r="1827" customFormat="false" ht="15" hidden="false" customHeight="false" outlineLevel="0" collapsed="false"/>
    <row r="1828" customFormat="false" ht="15" hidden="false" customHeight="false" outlineLevel="0" collapsed="false"/>
    <row r="1829" customFormat="false" ht="15" hidden="false" customHeight="false" outlineLevel="0" collapsed="false"/>
    <row r="1830" customFormat="false" ht="15" hidden="false" customHeight="false" outlineLevel="0" collapsed="false"/>
    <row r="1831" customFormat="false" ht="15" hidden="false" customHeight="false" outlineLevel="0" collapsed="false"/>
    <row r="1832" customFormat="false" ht="15" hidden="false" customHeight="false" outlineLevel="0" collapsed="false"/>
    <row r="1833" customFormat="false" ht="15" hidden="false" customHeight="false" outlineLevel="0" collapsed="false"/>
    <row r="1834" customFormat="false" ht="15" hidden="false" customHeight="false" outlineLevel="0" collapsed="false"/>
    <row r="1835" customFormat="false" ht="15" hidden="false" customHeight="false" outlineLevel="0" collapsed="false"/>
    <row r="1836" customFormat="false" ht="15" hidden="false" customHeight="false" outlineLevel="0" collapsed="false"/>
    <row r="1837" customFormat="false" ht="15" hidden="false" customHeight="false" outlineLevel="0" collapsed="false"/>
    <row r="1838" customFormat="false" ht="15" hidden="false" customHeight="false" outlineLevel="0" collapsed="false"/>
    <row r="1839" customFormat="false" ht="15" hidden="false" customHeight="false" outlineLevel="0" collapsed="false"/>
    <row r="1840" customFormat="false" ht="15" hidden="false" customHeight="false" outlineLevel="0" collapsed="false"/>
    <row r="1841" customFormat="false" ht="15" hidden="false" customHeight="false" outlineLevel="0" collapsed="false"/>
    <row r="1842" customFormat="false" ht="15" hidden="false" customHeight="false" outlineLevel="0" collapsed="false"/>
    <row r="1843" customFormat="false" ht="15" hidden="false" customHeight="false" outlineLevel="0" collapsed="false"/>
    <row r="1844" customFormat="false" ht="15" hidden="false" customHeight="false" outlineLevel="0" collapsed="false"/>
    <row r="1845" customFormat="false" ht="15" hidden="false" customHeight="false" outlineLevel="0" collapsed="false"/>
    <row r="1846" customFormat="false" ht="15" hidden="false" customHeight="false" outlineLevel="0" collapsed="false"/>
    <row r="1847" customFormat="false" ht="15" hidden="false" customHeight="false" outlineLevel="0" collapsed="false"/>
    <row r="1848" customFormat="false" ht="15" hidden="false" customHeight="false" outlineLevel="0" collapsed="false"/>
    <row r="1849" customFormat="false" ht="15" hidden="false" customHeight="false" outlineLevel="0" collapsed="false"/>
    <row r="1850" customFormat="false" ht="15" hidden="false" customHeight="false" outlineLevel="0" collapsed="false"/>
    <row r="1851" customFormat="false" ht="15" hidden="false" customHeight="false" outlineLevel="0" collapsed="false"/>
    <row r="1852" customFormat="false" ht="15" hidden="false" customHeight="false" outlineLevel="0" collapsed="false"/>
    <row r="1853" customFormat="false" ht="15" hidden="false" customHeight="false" outlineLevel="0" collapsed="false"/>
    <row r="1854" customFormat="false" ht="15" hidden="false" customHeight="false" outlineLevel="0" collapsed="false"/>
    <row r="1855" customFormat="false" ht="15" hidden="false" customHeight="false" outlineLevel="0" collapsed="false"/>
    <row r="1856" customFormat="false" ht="15" hidden="false" customHeight="false" outlineLevel="0" collapsed="false"/>
    <row r="1857" customFormat="false" ht="15" hidden="false" customHeight="false" outlineLevel="0" collapsed="false"/>
    <row r="1858" customFormat="false" ht="15" hidden="false" customHeight="false" outlineLevel="0" collapsed="false"/>
    <row r="1859" customFormat="false" ht="15" hidden="false" customHeight="false" outlineLevel="0" collapsed="false"/>
    <row r="1860" customFormat="false" ht="15" hidden="false" customHeight="false" outlineLevel="0" collapsed="false"/>
    <row r="1861" customFormat="false" ht="15" hidden="false" customHeight="false" outlineLevel="0" collapsed="false"/>
    <row r="1862" customFormat="false" ht="15" hidden="false" customHeight="false" outlineLevel="0" collapsed="false"/>
    <row r="1863" customFormat="false" ht="15" hidden="false" customHeight="false" outlineLevel="0" collapsed="false"/>
    <row r="1864" customFormat="false" ht="15" hidden="false" customHeight="false" outlineLevel="0" collapsed="false"/>
    <row r="1865" customFormat="false" ht="15" hidden="false" customHeight="false" outlineLevel="0" collapsed="false"/>
    <row r="1866" customFormat="false" ht="15" hidden="false" customHeight="false" outlineLevel="0" collapsed="false"/>
    <row r="1867" customFormat="false" ht="15" hidden="false" customHeight="false" outlineLevel="0" collapsed="false"/>
    <row r="1868" customFormat="false" ht="15" hidden="false" customHeight="false" outlineLevel="0" collapsed="false"/>
    <row r="1869" customFormat="false" ht="15" hidden="false" customHeight="false" outlineLevel="0" collapsed="false"/>
    <row r="1870" customFormat="false" ht="15" hidden="false" customHeight="false" outlineLevel="0" collapsed="false"/>
    <row r="1871" customFormat="false" ht="15" hidden="false" customHeight="false" outlineLevel="0" collapsed="false"/>
    <row r="1872" customFormat="false" ht="15" hidden="false" customHeight="false" outlineLevel="0" collapsed="false"/>
    <row r="1873" customFormat="false" ht="15" hidden="false" customHeight="false" outlineLevel="0" collapsed="false"/>
    <row r="1874" customFormat="false" ht="15" hidden="false" customHeight="false" outlineLevel="0" collapsed="false"/>
    <row r="1875" customFormat="false" ht="15" hidden="false" customHeight="false" outlineLevel="0" collapsed="false"/>
    <row r="1876" customFormat="false" ht="15" hidden="false" customHeight="false" outlineLevel="0" collapsed="false"/>
    <row r="1877" customFormat="false" ht="15" hidden="false" customHeight="false" outlineLevel="0" collapsed="false"/>
    <row r="1878" customFormat="false" ht="15" hidden="false" customHeight="false" outlineLevel="0" collapsed="false"/>
    <row r="1879" customFormat="false" ht="15" hidden="false" customHeight="false" outlineLevel="0" collapsed="false"/>
    <row r="1880" customFormat="false" ht="15" hidden="false" customHeight="false" outlineLevel="0" collapsed="false"/>
    <row r="1881" customFormat="false" ht="15" hidden="false" customHeight="false" outlineLevel="0" collapsed="false"/>
    <row r="1882" customFormat="false" ht="15" hidden="false" customHeight="false" outlineLevel="0" collapsed="false"/>
    <row r="1883" customFormat="false" ht="15" hidden="false" customHeight="false" outlineLevel="0" collapsed="false"/>
    <row r="1884" customFormat="false" ht="15" hidden="false" customHeight="false" outlineLevel="0" collapsed="false"/>
    <row r="1885" customFormat="false" ht="15" hidden="false" customHeight="false" outlineLevel="0" collapsed="false"/>
    <row r="1886" customFormat="false" ht="15" hidden="false" customHeight="false" outlineLevel="0" collapsed="false"/>
    <row r="1887" customFormat="false" ht="15" hidden="false" customHeight="false" outlineLevel="0" collapsed="false"/>
    <row r="1888" customFormat="false" ht="15" hidden="false" customHeight="false" outlineLevel="0" collapsed="false"/>
    <row r="1889" customFormat="false" ht="15" hidden="false" customHeight="false" outlineLevel="0" collapsed="false"/>
    <row r="1890" customFormat="false" ht="15" hidden="false" customHeight="false" outlineLevel="0" collapsed="false"/>
    <row r="1891" customFormat="false" ht="15" hidden="false" customHeight="false" outlineLevel="0" collapsed="false"/>
    <row r="1892" customFormat="false" ht="15" hidden="false" customHeight="false" outlineLevel="0" collapsed="false"/>
    <row r="1893" customFormat="false" ht="15" hidden="false" customHeight="false" outlineLevel="0" collapsed="false"/>
    <row r="1894" customFormat="false" ht="15" hidden="false" customHeight="false" outlineLevel="0" collapsed="false"/>
    <row r="1895" customFormat="false" ht="15" hidden="false" customHeight="false" outlineLevel="0" collapsed="false"/>
    <row r="1896" customFormat="false" ht="15" hidden="false" customHeight="false" outlineLevel="0" collapsed="false"/>
    <row r="1897" customFormat="false" ht="15" hidden="false" customHeight="false" outlineLevel="0" collapsed="false"/>
    <row r="1898" customFormat="false" ht="15" hidden="false" customHeight="false" outlineLevel="0" collapsed="false"/>
    <row r="1899" customFormat="false" ht="15" hidden="false" customHeight="false" outlineLevel="0" collapsed="false"/>
    <row r="1900" customFormat="false" ht="15" hidden="false" customHeight="false" outlineLevel="0" collapsed="false"/>
    <row r="1901" customFormat="false" ht="15" hidden="false" customHeight="false" outlineLevel="0" collapsed="false"/>
    <row r="1902" customFormat="false" ht="15" hidden="false" customHeight="false" outlineLevel="0" collapsed="false"/>
    <row r="1903" customFormat="false" ht="15" hidden="false" customHeight="false" outlineLevel="0" collapsed="false"/>
    <row r="1904" customFormat="false" ht="15" hidden="false" customHeight="false" outlineLevel="0" collapsed="false"/>
    <row r="1905" customFormat="false" ht="15" hidden="false" customHeight="false" outlineLevel="0" collapsed="false"/>
    <row r="1906" customFormat="false" ht="15" hidden="false" customHeight="false" outlineLevel="0" collapsed="false"/>
    <row r="1907" customFormat="false" ht="15" hidden="false" customHeight="false" outlineLevel="0" collapsed="false"/>
    <row r="1908" customFormat="false" ht="15" hidden="false" customHeight="false" outlineLevel="0" collapsed="false"/>
    <row r="1909" customFormat="false" ht="15" hidden="false" customHeight="false" outlineLevel="0" collapsed="false"/>
    <row r="1910" customFormat="false" ht="15" hidden="false" customHeight="false" outlineLevel="0" collapsed="false"/>
    <row r="1911" customFormat="false" ht="15" hidden="false" customHeight="false" outlineLevel="0" collapsed="false"/>
    <row r="1912" customFormat="false" ht="15" hidden="false" customHeight="false" outlineLevel="0" collapsed="false"/>
    <row r="1913" customFormat="false" ht="15" hidden="false" customHeight="false" outlineLevel="0" collapsed="false"/>
    <row r="1914" customFormat="false" ht="15" hidden="false" customHeight="false" outlineLevel="0" collapsed="false"/>
    <row r="1915" customFormat="false" ht="15" hidden="false" customHeight="false" outlineLevel="0" collapsed="false"/>
    <row r="1916" customFormat="false" ht="15" hidden="false" customHeight="false" outlineLevel="0" collapsed="false"/>
    <row r="1917" customFormat="false" ht="15" hidden="false" customHeight="false" outlineLevel="0" collapsed="false"/>
    <row r="1918" customFormat="false" ht="15" hidden="false" customHeight="false" outlineLevel="0" collapsed="false"/>
    <row r="1919" customFormat="false" ht="15" hidden="false" customHeight="false" outlineLevel="0" collapsed="false"/>
    <row r="1920" customFormat="false" ht="15" hidden="false" customHeight="false" outlineLevel="0" collapsed="false"/>
    <row r="1921" customFormat="false" ht="15" hidden="false" customHeight="false" outlineLevel="0" collapsed="false"/>
    <row r="1922" customFormat="false" ht="15" hidden="false" customHeight="false" outlineLevel="0" collapsed="false"/>
    <row r="1923" customFormat="false" ht="15" hidden="false" customHeight="false" outlineLevel="0" collapsed="false"/>
    <row r="1924" customFormat="false" ht="15" hidden="false" customHeight="false" outlineLevel="0" collapsed="false"/>
    <row r="1925" customFormat="false" ht="15" hidden="false" customHeight="false" outlineLevel="0" collapsed="false"/>
    <row r="1926" customFormat="false" ht="15" hidden="false" customHeight="false" outlineLevel="0" collapsed="false"/>
    <row r="1927" customFormat="false" ht="15" hidden="false" customHeight="false" outlineLevel="0" collapsed="false"/>
    <row r="1928" customFormat="false" ht="15" hidden="false" customHeight="false" outlineLevel="0" collapsed="false"/>
    <row r="1929" customFormat="false" ht="15" hidden="false" customHeight="false" outlineLevel="0" collapsed="false"/>
    <row r="1930" customFormat="false" ht="15" hidden="false" customHeight="false" outlineLevel="0" collapsed="false"/>
    <row r="1931" customFormat="false" ht="15" hidden="false" customHeight="false" outlineLevel="0" collapsed="false"/>
    <row r="1932" customFormat="false" ht="15" hidden="false" customHeight="false" outlineLevel="0" collapsed="false"/>
    <row r="1933" customFormat="false" ht="15" hidden="false" customHeight="false" outlineLevel="0" collapsed="false"/>
    <row r="1934" customFormat="false" ht="15" hidden="false" customHeight="false" outlineLevel="0" collapsed="false"/>
    <row r="1935" customFormat="false" ht="15" hidden="false" customHeight="false" outlineLevel="0" collapsed="false"/>
    <row r="1936" customFormat="false" ht="15" hidden="false" customHeight="false" outlineLevel="0" collapsed="false"/>
    <row r="1937" customFormat="false" ht="15" hidden="false" customHeight="false" outlineLevel="0" collapsed="false"/>
    <row r="1938" customFormat="false" ht="15" hidden="false" customHeight="false" outlineLevel="0" collapsed="false"/>
    <row r="1939" customFormat="false" ht="15" hidden="false" customHeight="false" outlineLevel="0" collapsed="false"/>
    <row r="1940" customFormat="false" ht="15" hidden="false" customHeight="false" outlineLevel="0" collapsed="false"/>
    <row r="1941" customFormat="false" ht="15" hidden="false" customHeight="false" outlineLevel="0" collapsed="false"/>
    <row r="1942" customFormat="false" ht="15" hidden="false" customHeight="false" outlineLevel="0" collapsed="false"/>
    <row r="1943" customFormat="false" ht="15" hidden="false" customHeight="false" outlineLevel="0" collapsed="false"/>
    <row r="1944" customFormat="false" ht="15" hidden="false" customHeight="false" outlineLevel="0" collapsed="false"/>
    <row r="1945" customFormat="false" ht="15" hidden="false" customHeight="false" outlineLevel="0" collapsed="false"/>
    <row r="1946" customFormat="false" ht="15" hidden="false" customHeight="false" outlineLevel="0" collapsed="false"/>
    <row r="1947" customFormat="false" ht="15" hidden="false" customHeight="false" outlineLevel="0" collapsed="false"/>
    <row r="1948" customFormat="false" ht="15" hidden="false" customHeight="false" outlineLevel="0" collapsed="false"/>
    <row r="1949" customFormat="false" ht="15" hidden="false" customHeight="false" outlineLevel="0" collapsed="false"/>
    <row r="1950" customFormat="false" ht="15" hidden="false" customHeight="false" outlineLevel="0" collapsed="false"/>
    <row r="1951" customFormat="false" ht="15" hidden="false" customHeight="false" outlineLevel="0" collapsed="false"/>
    <row r="1952" customFormat="false" ht="15" hidden="false" customHeight="false" outlineLevel="0" collapsed="false"/>
    <row r="1953" customFormat="false" ht="15" hidden="false" customHeight="false" outlineLevel="0" collapsed="false"/>
    <row r="1954" customFormat="false" ht="15" hidden="false" customHeight="false" outlineLevel="0" collapsed="false"/>
    <row r="1955" customFormat="false" ht="15" hidden="false" customHeight="false" outlineLevel="0" collapsed="false"/>
    <row r="1956" customFormat="false" ht="15" hidden="false" customHeight="false" outlineLevel="0" collapsed="false"/>
    <row r="1957" customFormat="false" ht="15" hidden="false" customHeight="false" outlineLevel="0" collapsed="false"/>
    <row r="1958" customFormat="false" ht="15" hidden="false" customHeight="false" outlineLevel="0" collapsed="false"/>
    <row r="1959" customFormat="false" ht="15" hidden="false" customHeight="false" outlineLevel="0" collapsed="false"/>
    <row r="1960" customFormat="false" ht="15" hidden="false" customHeight="false" outlineLevel="0" collapsed="false"/>
    <row r="1961" customFormat="false" ht="15" hidden="false" customHeight="false" outlineLevel="0" collapsed="false"/>
    <row r="1962" customFormat="false" ht="15" hidden="false" customHeight="false" outlineLevel="0" collapsed="false"/>
    <row r="1963" customFormat="false" ht="15" hidden="false" customHeight="false" outlineLevel="0" collapsed="false"/>
    <row r="1964" customFormat="false" ht="15" hidden="false" customHeight="false" outlineLevel="0" collapsed="false"/>
    <row r="1965" customFormat="false" ht="15" hidden="false" customHeight="false" outlineLevel="0" collapsed="false"/>
    <row r="1966" customFormat="false" ht="15" hidden="false" customHeight="false" outlineLevel="0" collapsed="false"/>
    <row r="1967" customFormat="false" ht="15" hidden="false" customHeight="false" outlineLevel="0" collapsed="false"/>
    <row r="1968" customFormat="false" ht="15" hidden="false" customHeight="false" outlineLevel="0" collapsed="false"/>
    <row r="1969" customFormat="false" ht="15" hidden="false" customHeight="false" outlineLevel="0" collapsed="false"/>
    <row r="1970" customFormat="false" ht="15" hidden="false" customHeight="false" outlineLevel="0" collapsed="false"/>
    <row r="1971" customFormat="false" ht="15" hidden="false" customHeight="false" outlineLevel="0" collapsed="false"/>
    <row r="1972" customFormat="false" ht="15" hidden="false" customHeight="false" outlineLevel="0" collapsed="false"/>
    <row r="1973" customFormat="false" ht="15" hidden="false" customHeight="false" outlineLevel="0" collapsed="false"/>
    <row r="1974" customFormat="false" ht="15" hidden="false" customHeight="false" outlineLevel="0" collapsed="false"/>
    <row r="1975" customFormat="false" ht="15" hidden="false" customHeight="false" outlineLevel="0" collapsed="false"/>
    <row r="1976" customFormat="false" ht="15" hidden="false" customHeight="false" outlineLevel="0" collapsed="false"/>
    <row r="1977" customFormat="false" ht="15" hidden="false" customHeight="false" outlineLevel="0" collapsed="false"/>
    <row r="1978" customFormat="false" ht="15" hidden="false" customHeight="false" outlineLevel="0" collapsed="false"/>
    <row r="1979" customFormat="false" ht="15" hidden="false" customHeight="false" outlineLevel="0" collapsed="false"/>
    <row r="1980" customFormat="false" ht="15" hidden="false" customHeight="false" outlineLevel="0" collapsed="false"/>
    <row r="1981" customFormat="false" ht="15" hidden="false" customHeight="false" outlineLevel="0" collapsed="false"/>
    <row r="1982" customFormat="false" ht="15" hidden="false" customHeight="false" outlineLevel="0" collapsed="false"/>
    <row r="1983" customFormat="false" ht="15" hidden="false" customHeight="false" outlineLevel="0" collapsed="false"/>
    <row r="1984" customFormat="false" ht="15" hidden="false" customHeight="false" outlineLevel="0" collapsed="false"/>
    <row r="1985" customFormat="false" ht="15" hidden="false" customHeight="false" outlineLevel="0" collapsed="false"/>
    <row r="1986" customFormat="false" ht="15" hidden="false" customHeight="false" outlineLevel="0" collapsed="false"/>
    <row r="1987" customFormat="false" ht="15" hidden="false" customHeight="false" outlineLevel="0" collapsed="false"/>
    <row r="1988" customFormat="false" ht="15" hidden="false" customHeight="false" outlineLevel="0" collapsed="false"/>
    <row r="1989" customFormat="false" ht="15" hidden="false" customHeight="false" outlineLevel="0" collapsed="false"/>
    <row r="1990" customFormat="false" ht="15" hidden="false" customHeight="false" outlineLevel="0" collapsed="false"/>
    <row r="1991" customFormat="false" ht="15" hidden="false" customHeight="false" outlineLevel="0" collapsed="false"/>
    <row r="1992" customFormat="false" ht="15" hidden="false" customHeight="false" outlineLevel="0" collapsed="false"/>
    <row r="1993" customFormat="false" ht="15" hidden="false" customHeight="false" outlineLevel="0" collapsed="false"/>
    <row r="1994" customFormat="false" ht="15" hidden="false" customHeight="false" outlineLevel="0" collapsed="false"/>
    <row r="1995" customFormat="false" ht="15" hidden="false" customHeight="false" outlineLevel="0" collapsed="false"/>
    <row r="1996" customFormat="false" ht="15" hidden="false" customHeight="false" outlineLevel="0" collapsed="false"/>
    <row r="1997" customFormat="false" ht="15" hidden="false" customHeight="false" outlineLevel="0" collapsed="false"/>
    <row r="1998" customFormat="false" ht="15" hidden="false" customHeight="false" outlineLevel="0" collapsed="false"/>
    <row r="1999" customFormat="false" ht="15" hidden="false" customHeight="false" outlineLevel="0" collapsed="false"/>
    <row r="2000" customFormat="false" ht="15" hidden="false" customHeight="false" outlineLevel="0" collapsed="false"/>
    <row r="2001" customFormat="false" ht="15" hidden="false" customHeight="false" outlineLevel="0" collapsed="false"/>
    <row r="2002" customFormat="false" ht="15" hidden="false" customHeight="false" outlineLevel="0" collapsed="false"/>
    <row r="2003" customFormat="false" ht="15" hidden="false" customHeight="false" outlineLevel="0" collapsed="false"/>
    <row r="2004" customFormat="false" ht="15" hidden="false" customHeight="false" outlineLevel="0" collapsed="false"/>
    <row r="2005" customFormat="false" ht="15" hidden="false" customHeight="false" outlineLevel="0" collapsed="false"/>
    <row r="2006" customFormat="false" ht="15" hidden="false" customHeight="false" outlineLevel="0" collapsed="false"/>
    <row r="2007" customFormat="false" ht="15" hidden="false" customHeight="false" outlineLevel="0" collapsed="false"/>
    <row r="2008" customFormat="false" ht="15" hidden="false" customHeight="false" outlineLevel="0" collapsed="false"/>
    <row r="2009" customFormat="false" ht="15" hidden="false" customHeight="false" outlineLevel="0" collapsed="false"/>
    <row r="2010" customFormat="false" ht="15" hidden="false" customHeight="false" outlineLevel="0" collapsed="false"/>
    <row r="2011" customFormat="false" ht="15" hidden="false" customHeight="false" outlineLevel="0" collapsed="false"/>
    <row r="2012" customFormat="false" ht="15" hidden="false" customHeight="false" outlineLevel="0" collapsed="false"/>
    <row r="2013" customFormat="false" ht="15" hidden="false" customHeight="false" outlineLevel="0" collapsed="false"/>
    <row r="2014" customFormat="false" ht="15" hidden="false" customHeight="false" outlineLevel="0" collapsed="false"/>
    <row r="2015" customFormat="false" ht="15" hidden="false" customHeight="false" outlineLevel="0" collapsed="false"/>
    <row r="2016" customFormat="false" ht="15" hidden="false" customHeight="false" outlineLevel="0" collapsed="false"/>
    <row r="2017" customFormat="false" ht="15" hidden="false" customHeight="false" outlineLevel="0" collapsed="false"/>
    <row r="2018" customFormat="false" ht="15" hidden="false" customHeight="false" outlineLevel="0" collapsed="false"/>
    <row r="2019" customFormat="false" ht="15" hidden="false" customHeight="false" outlineLevel="0" collapsed="false"/>
    <row r="2020" customFormat="false" ht="15" hidden="false" customHeight="false" outlineLevel="0" collapsed="false"/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5" hidden="false" customHeight="false" outlineLevel="0" collapsed="false"/>
    <row r="2025" customFormat="false" ht="15" hidden="false" customHeight="false" outlineLevel="0" collapsed="false"/>
    <row r="2026" customFormat="false" ht="15" hidden="false" customHeight="false" outlineLevel="0" collapsed="false"/>
    <row r="2027" customFormat="false" ht="15" hidden="false" customHeight="false" outlineLevel="0" collapsed="false"/>
    <row r="2028" customFormat="false" ht="15" hidden="false" customHeight="false" outlineLevel="0" collapsed="false"/>
    <row r="2029" customFormat="false" ht="15" hidden="false" customHeight="false" outlineLevel="0" collapsed="false"/>
    <row r="2030" customFormat="false" ht="15" hidden="false" customHeight="false" outlineLevel="0" collapsed="false"/>
    <row r="2031" customFormat="false" ht="15" hidden="false" customHeight="false" outlineLevel="0" collapsed="false"/>
    <row r="2032" customFormat="false" ht="15" hidden="false" customHeight="false" outlineLevel="0" collapsed="false"/>
    <row r="2033" customFormat="false" ht="15" hidden="false" customHeight="false" outlineLevel="0" collapsed="false"/>
    <row r="2034" customFormat="false" ht="15" hidden="false" customHeight="false" outlineLevel="0" collapsed="false"/>
    <row r="2035" customFormat="false" ht="15" hidden="false" customHeight="false" outlineLevel="0" collapsed="false"/>
    <row r="2036" customFormat="false" ht="15" hidden="false" customHeight="false" outlineLevel="0" collapsed="false"/>
    <row r="2037" customFormat="false" ht="15" hidden="false" customHeight="false" outlineLevel="0" collapsed="false"/>
    <row r="2038" customFormat="false" ht="15" hidden="false" customHeight="false" outlineLevel="0" collapsed="false"/>
    <row r="2039" customFormat="false" ht="15" hidden="false" customHeight="false" outlineLevel="0" collapsed="false"/>
    <row r="2040" customFormat="false" ht="15" hidden="false" customHeight="false" outlineLevel="0" collapsed="false"/>
    <row r="2041" customFormat="false" ht="15" hidden="false" customHeight="false" outlineLevel="0" collapsed="false"/>
    <row r="2042" customFormat="false" ht="15" hidden="false" customHeight="false" outlineLevel="0" collapsed="false"/>
    <row r="2043" customFormat="false" ht="15" hidden="false" customHeight="false" outlineLevel="0" collapsed="false"/>
    <row r="2044" customFormat="false" ht="15" hidden="false" customHeight="false" outlineLevel="0" collapsed="false"/>
    <row r="2045" customFormat="false" ht="15" hidden="false" customHeight="false" outlineLevel="0" collapsed="false"/>
    <row r="2046" customFormat="false" ht="15" hidden="false" customHeight="false" outlineLevel="0" collapsed="false"/>
    <row r="2047" customFormat="false" ht="15" hidden="false" customHeight="false" outlineLevel="0" collapsed="false"/>
    <row r="2048" customFormat="false" ht="15" hidden="false" customHeight="false" outlineLevel="0" collapsed="false"/>
    <row r="2049" customFormat="false" ht="15" hidden="false" customHeight="false" outlineLevel="0" collapsed="false"/>
    <row r="2050" customFormat="false" ht="15" hidden="false" customHeight="false" outlineLevel="0" collapsed="false"/>
    <row r="2051" customFormat="false" ht="15" hidden="false" customHeight="false" outlineLevel="0" collapsed="false"/>
    <row r="2052" customFormat="false" ht="15" hidden="false" customHeight="false" outlineLevel="0" collapsed="false"/>
    <row r="2053" customFormat="false" ht="15" hidden="false" customHeight="false" outlineLevel="0" collapsed="false"/>
    <row r="2054" customFormat="false" ht="15" hidden="false" customHeight="false" outlineLevel="0" collapsed="false"/>
    <row r="2055" customFormat="false" ht="15" hidden="false" customHeight="false" outlineLevel="0" collapsed="false"/>
    <row r="2056" customFormat="false" ht="15" hidden="false" customHeight="false" outlineLevel="0" collapsed="false"/>
    <row r="2057" customFormat="false" ht="15" hidden="false" customHeight="false" outlineLevel="0" collapsed="false"/>
    <row r="2058" customFormat="false" ht="15" hidden="false" customHeight="false" outlineLevel="0" collapsed="false"/>
    <row r="2059" customFormat="false" ht="15" hidden="false" customHeight="false" outlineLevel="0" collapsed="false"/>
    <row r="2060" customFormat="false" ht="15" hidden="false" customHeight="false" outlineLevel="0" collapsed="false"/>
    <row r="2061" customFormat="false" ht="15" hidden="false" customHeight="false" outlineLevel="0" collapsed="false"/>
    <row r="2062" customFormat="false" ht="15" hidden="false" customHeight="false" outlineLevel="0" collapsed="false"/>
    <row r="2063" customFormat="false" ht="15" hidden="false" customHeight="false" outlineLevel="0" collapsed="false"/>
    <row r="2064" customFormat="false" ht="15" hidden="false" customHeight="false" outlineLevel="0" collapsed="false"/>
    <row r="2065" customFormat="false" ht="15" hidden="false" customHeight="false" outlineLevel="0" collapsed="false"/>
    <row r="2066" customFormat="false" ht="15" hidden="false" customHeight="false" outlineLevel="0" collapsed="false"/>
    <row r="2067" customFormat="false" ht="15" hidden="false" customHeight="false" outlineLevel="0" collapsed="false"/>
    <row r="2068" customFormat="false" ht="15" hidden="false" customHeight="false" outlineLevel="0" collapsed="false"/>
    <row r="2069" customFormat="false" ht="15" hidden="false" customHeight="false" outlineLevel="0" collapsed="false"/>
    <row r="2070" customFormat="false" ht="15" hidden="false" customHeight="false" outlineLevel="0" collapsed="false"/>
    <row r="2071" customFormat="false" ht="15" hidden="false" customHeight="false" outlineLevel="0" collapsed="false"/>
    <row r="2072" customFormat="false" ht="15" hidden="false" customHeight="false" outlineLevel="0" collapsed="false"/>
    <row r="2073" customFormat="false" ht="15" hidden="false" customHeight="false" outlineLevel="0" collapsed="false"/>
    <row r="2074" customFormat="false" ht="15" hidden="false" customHeight="false" outlineLevel="0" collapsed="false"/>
    <row r="2075" customFormat="false" ht="15" hidden="false" customHeight="false" outlineLevel="0" collapsed="false"/>
    <row r="2076" customFormat="false" ht="15" hidden="false" customHeight="false" outlineLevel="0" collapsed="false"/>
    <row r="2077" customFormat="false" ht="15" hidden="false" customHeight="false" outlineLevel="0" collapsed="false"/>
    <row r="2078" customFormat="false" ht="15" hidden="false" customHeight="false" outlineLevel="0" collapsed="false"/>
    <row r="2079" customFormat="false" ht="15" hidden="false" customHeight="false" outlineLevel="0" collapsed="false"/>
    <row r="2080" customFormat="false" ht="15" hidden="false" customHeight="false" outlineLevel="0" collapsed="false"/>
    <row r="2081" customFormat="false" ht="15" hidden="false" customHeight="false" outlineLevel="0" collapsed="false"/>
    <row r="2082" customFormat="false" ht="15" hidden="false" customHeight="false" outlineLevel="0" collapsed="false"/>
    <row r="2083" customFormat="false" ht="15" hidden="false" customHeight="false" outlineLevel="0" collapsed="false"/>
    <row r="2084" customFormat="false" ht="15" hidden="false" customHeight="false" outlineLevel="0" collapsed="false"/>
    <row r="2085" customFormat="false" ht="15" hidden="false" customHeight="false" outlineLevel="0" collapsed="false"/>
    <row r="2086" customFormat="false" ht="15" hidden="false" customHeight="false" outlineLevel="0" collapsed="false"/>
    <row r="2087" customFormat="false" ht="15" hidden="false" customHeight="false" outlineLevel="0" collapsed="false"/>
    <row r="2088" customFormat="false" ht="15" hidden="false" customHeight="false" outlineLevel="0" collapsed="false"/>
    <row r="2089" customFormat="false" ht="15" hidden="false" customHeight="false" outlineLevel="0" collapsed="false"/>
    <row r="2090" customFormat="false" ht="15" hidden="false" customHeight="false" outlineLevel="0" collapsed="false"/>
    <row r="2091" customFormat="false" ht="15" hidden="false" customHeight="false" outlineLevel="0" collapsed="false"/>
    <row r="2092" customFormat="false" ht="15" hidden="false" customHeight="false" outlineLevel="0" collapsed="false"/>
    <row r="2093" customFormat="false" ht="15" hidden="false" customHeight="false" outlineLevel="0" collapsed="false"/>
    <row r="2094" customFormat="false" ht="15" hidden="false" customHeight="false" outlineLevel="0" collapsed="false"/>
    <row r="2095" customFormat="false" ht="15" hidden="false" customHeight="false" outlineLevel="0" collapsed="false"/>
    <row r="2096" customFormat="false" ht="15" hidden="false" customHeight="false" outlineLevel="0" collapsed="false"/>
    <row r="2097" customFormat="false" ht="15" hidden="false" customHeight="false" outlineLevel="0" collapsed="false"/>
    <row r="2098" customFormat="false" ht="15" hidden="false" customHeight="false" outlineLevel="0" collapsed="false"/>
    <row r="2099" customFormat="false" ht="15" hidden="false" customHeight="false" outlineLevel="0" collapsed="false"/>
    <row r="2100" customFormat="false" ht="15" hidden="false" customHeight="false" outlineLevel="0" collapsed="false"/>
    <row r="2101" customFormat="false" ht="15" hidden="false" customHeight="false" outlineLevel="0" collapsed="false"/>
    <row r="2102" customFormat="false" ht="15" hidden="false" customHeight="false" outlineLevel="0" collapsed="false"/>
    <row r="2103" customFormat="false" ht="15" hidden="false" customHeight="false" outlineLevel="0" collapsed="false"/>
    <row r="2104" customFormat="false" ht="15" hidden="false" customHeight="false" outlineLevel="0" collapsed="false"/>
    <row r="2105" customFormat="false" ht="15" hidden="false" customHeight="false" outlineLevel="0" collapsed="false"/>
    <row r="2106" customFormat="false" ht="15" hidden="false" customHeight="false" outlineLevel="0" collapsed="false"/>
    <row r="2107" customFormat="false" ht="15" hidden="false" customHeight="false" outlineLevel="0" collapsed="false"/>
    <row r="2108" customFormat="false" ht="15" hidden="false" customHeight="false" outlineLevel="0" collapsed="false"/>
    <row r="2109" customFormat="false" ht="15" hidden="false" customHeight="false" outlineLevel="0" collapsed="false"/>
    <row r="2110" customFormat="false" ht="15" hidden="false" customHeight="false" outlineLevel="0" collapsed="false"/>
    <row r="2111" customFormat="false" ht="15" hidden="false" customHeight="false" outlineLevel="0" collapsed="false"/>
    <row r="2112" customFormat="false" ht="15" hidden="false" customHeight="false" outlineLevel="0" collapsed="false"/>
    <row r="2113" customFormat="false" ht="15" hidden="false" customHeight="false" outlineLevel="0" collapsed="false"/>
    <row r="2114" customFormat="false" ht="15" hidden="false" customHeight="false" outlineLevel="0" collapsed="false"/>
    <row r="2115" customFormat="false" ht="15" hidden="false" customHeight="false" outlineLevel="0" collapsed="false"/>
    <row r="2116" customFormat="false" ht="15" hidden="false" customHeight="false" outlineLevel="0" collapsed="false"/>
    <row r="2117" customFormat="false" ht="15" hidden="false" customHeight="false" outlineLevel="0" collapsed="false"/>
    <row r="2118" customFormat="false" ht="15" hidden="false" customHeight="false" outlineLevel="0" collapsed="false"/>
    <row r="2119" customFormat="false" ht="15" hidden="false" customHeight="false" outlineLevel="0" collapsed="false"/>
    <row r="2120" customFormat="false" ht="15" hidden="false" customHeight="false" outlineLevel="0" collapsed="false"/>
    <row r="2121" customFormat="false" ht="15" hidden="false" customHeight="false" outlineLevel="0" collapsed="false"/>
    <row r="2122" customFormat="false" ht="15" hidden="false" customHeight="false" outlineLevel="0" collapsed="false"/>
    <row r="2123" customFormat="false" ht="15" hidden="false" customHeight="false" outlineLevel="0" collapsed="false"/>
    <row r="2124" customFormat="false" ht="15" hidden="false" customHeight="false" outlineLevel="0" collapsed="false"/>
    <row r="2125" customFormat="false" ht="15" hidden="false" customHeight="false" outlineLevel="0" collapsed="false"/>
    <row r="2126" customFormat="false" ht="15" hidden="false" customHeight="false" outlineLevel="0" collapsed="false"/>
    <row r="2127" customFormat="false" ht="15" hidden="false" customHeight="false" outlineLevel="0" collapsed="false"/>
    <row r="2128" customFormat="false" ht="15" hidden="false" customHeight="false" outlineLevel="0" collapsed="false"/>
    <row r="2129" customFormat="false" ht="15" hidden="false" customHeight="false" outlineLevel="0" collapsed="false"/>
    <row r="2130" customFormat="false" ht="15" hidden="false" customHeight="false" outlineLevel="0" collapsed="false"/>
    <row r="2131" customFormat="false" ht="15" hidden="false" customHeight="false" outlineLevel="0" collapsed="false"/>
    <row r="2132" customFormat="false" ht="15" hidden="false" customHeight="false" outlineLevel="0" collapsed="false"/>
    <row r="2133" customFormat="false" ht="15" hidden="false" customHeight="false" outlineLevel="0" collapsed="false"/>
    <row r="2134" customFormat="false" ht="15" hidden="false" customHeight="false" outlineLevel="0" collapsed="false"/>
    <row r="2135" customFormat="false" ht="15" hidden="false" customHeight="false" outlineLevel="0" collapsed="false"/>
    <row r="2136" customFormat="false" ht="15" hidden="false" customHeight="false" outlineLevel="0" collapsed="false"/>
    <row r="2137" customFormat="false" ht="15" hidden="false" customHeight="false" outlineLevel="0" collapsed="false"/>
    <row r="2138" customFormat="false" ht="15" hidden="false" customHeight="false" outlineLevel="0" collapsed="false"/>
    <row r="2139" customFormat="false" ht="15" hidden="false" customHeight="false" outlineLevel="0" collapsed="false"/>
    <row r="2140" customFormat="false" ht="15" hidden="false" customHeight="false" outlineLevel="0" collapsed="false"/>
    <row r="2141" customFormat="false" ht="15" hidden="false" customHeight="false" outlineLevel="0" collapsed="false"/>
    <row r="2142" customFormat="false" ht="15" hidden="false" customHeight="false" outlineLevel="0" collapsed="false"/>
    <row r="2143" customFormat="false" ht="15" hidden="false" customHeight="false" outlineLevel="0" collapsed="false"/>
    <row r="2144" customFormat="false" ht="15" hidden="false" customHeight="false" outlineLevel="0" collapsed="false"/>
    <row r="2145" customFormat="false" ht="15" hidden="false" customHeight="false" outlineLevel="0" collapsed="false"/>
    <row r="2146" customFormat="false" ht="15" hidden="false" customHeight="false" outlineLevel="0" collapsed="false"/>
    <row r="2147" customFormat="false" ht="15" hidden="false" customHeight="false" outlineLevel="0" collapsed="false"/>
    <row r="2148" customFormat="false" ht="15" hidden="false" customHeight="false" outlineLevel="0" collapsed="false"/>
    <row r="2149" customFormat="false" ht="15" hidden="false" customHeight="false" outlineLevel="0" collapsed="false"/>
    <row r="2150" customFormat="false" ht="15" hidden="false" customHeight="false" outlineLevel="0" collapsed="false"/>
    <row r="2151" customFormat="false" ht="15" hidden="false" customHeight="false" outlineLevel="0" collapsed="false"/>
    <row r="2152" customFormat="false" ht="15" hidden="false" customHeight="false" outlineLevel="0" collapsed="false"/>
    <row r="2153" customFormat="false" ht="15" hidden="false" customHeight="false" outlineLevel="0" collapsed="false"/>
    <row r="2154" customFormat="false" ht="15" hidden="false" customHeight="false" outlineLevel="0" collapsed="false"/>
    <row r="2155" customFormat="false" ht="15" hidden="false" customHeight="false" outlineLevel="0" collapsed="false"/>
    <row r="2156" customFormat="false" ht="15" hidden="false" customHeight="false" outlineLevel="0" collapsed="false"/>
    <row r="2157" customFormat="false" ht="15" hidden="false" customHeight="false" outlineLevel="0" collapsed="false"/>
    <row r="2158" customFormat="false" ht="15" hidden="false" customHeight="false" outlineLevel="0" collapsed="false"/>
    <row r="2159" customFormat="false" ht="15" hidden="false" customHeight="false" outlineLevel="0" collapsed="false"/>
    <row r="2160" customFormat="false" ht="15" hidden="false" customHeight="false" outlineLevel="0" collapsed="false"/>
    <row r="2161" customFormat="false" ht="15" hidden="false" customHeight="false" outlineLevel="0" collapsed="false"/>
    <row r="2162" customFormat="false" ht="15" hidden="false" customHeight="false" outlineLevel="0" collapsed="false"/>
    <row r="2163" customFormat="false" ht="15" hidden="false" customHeight="false" outlineLevel="0" collapsed="false"/>
    <row r="2164" customFormat="false" ht="15" hidden="false" customHeight="false" outlineLevel="0" collapsed="false"/>
    <row r="2165" customFormat="false" ht="15" hidden="false" customHeight="false" outlineLevel="0" collapsed="false"/>
    <row r="2166" customFormat="false" ht="15" hidden="false" customHeight="false" outlineLevel="0" collapsed="false"/>
    <row r="2167" customFormat="false" ht="15" hidden="false" customHeight="false" outlineLevel="0" collapsed="false"/>
    <row r="2168" customFormat="false" ht="15" hidden="false" customHeight="false" outlineLevel="0" collapsed="false"/>
    <row r="2169" customFormat="false" ht="15" hidden="false" customHeight="false" outlineLevel="0" collapsed="false"/>
    <row r="2170" customFormat="false" ht="15" hidden="false" customHeight="false" outlineLevel="0" collapsed="false"/>
    <row r="2171" customFormat="false" ht="15" hidden="false" customHeight="false" outlineLevel="0" collapsed="false"/>
    <row r="2172" customFormat="false" ht="15" hidden="false" customHeight="false" outlineLevel="0" collapsed="false"/>
    <row r="2173" customFormat="false" ht="15" hidden="false" customHeight="false" outlineLevel="0" collapsed="false"/>
    <row r="2174" customFormat="false" ht="15" hidden="false" customHeight="false" outlineLevel="0" collapsed="false"/>
    <row r="2175" customFormat="false" ht="15" hidden="false" customHeight="false" outlineLevel="0" collapsed="false"/>
    <row r="2176" customFormat="false" ht="15" hidden="false" customHeight="false" outlineLevel="0" collapsed="false"/>
    <row r="2177" customFormat="false" ht="15" hidden="false" customHeight="false" outlineLevel="0" collapsed="false"/>
    <row r="2178" customFormat="false" ht="15" hidden="false" customHeight="false" outlineLevel="0" collapsed="false"/>
    <row r="2179" customFormat="false" ht="15" hidden="false" customHeight="false" outlineLevel="0" collapsed="false"/>
    <row r="2180" customFormat="false" ht="15" hidden="false" customHeight="false" outlineLevel="0" collapsed="false"/>
    <row r="2181" customFormat="false" ht="15" hidden="false" customHeight="false" outlineLevel="0" collapsed="false"/>
    <row r="2182" customFormat="false" ht="15" hidden="false" customHeight="false" outlineLevel="0" collapsed="false"/>
    <row r="2183" customFormat="false" ht="15" hidden="false" customHeight="false" outlineLevel="0" collapsed="false"/>
    <row r="2184" customFormat="false" ht="15" hidden="false" customHeight="false" outlineLevel="0" collapsed="false"/>
    <row r="2185" customFormat="false" ht="15" hidden="false" 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llapsed="false"/>
    <row r="2188" customFormat="false" ht="15" hidden="false" customHeight="false" outlineLevel="0" collapsed="false"/>
    <row r="2189" customFormat="false" ht="15" hidden="false" customHeight="false" outlineLevel="0" collapsed="false"/>
    <row r="2190" customFormat="false" ht="15" hidden="false" customHeight="false" outlineLevel="0" collapsed="false"/>
    <row r="2191" customFormat="false" ht="15" hidden="false" customHeight="false" outlineLevel="0" collapsed="false"/>
    <row r="2192" customFormat="false" ht="15" hidden="false" customHeight="false" outlineLevel="0" collapsed="false"/>
    <row r="2193" customFormat="false" ht="15" hidden="false" customHeight="false" outlineLevel="0" collapsed="false"/>
    <row r="2194" customFormat="false" ht="15" hidden="false" customHeight="false" outlineLevel="0" collapsed="false"/>
    <row r="2195" customFormat="false" ht="15" hidden="false" customHeight="false" outlineLevel="0" collapsed="false"/>
    <row r="2196" customFormat="false" ht="15" hidden="false" customHeight="false" outlineLevel="0" collapsed="false"/>
    <row r="2197" customFormat="false" ht="15" hidden="false" customHeight="false" outlineLevel="0" collapsed="false"/>
    <row r="2198" customFormat="false" ht="15" hidden="false" customHeight="false" outlineLevel="0" collapsed="false"/>
    <row r="2199" customFormat="false" ht="15" hidden="false" customHeight="false" outlineLevel="0" collapsed="false"/>
    <row r="2200" customFormat="false" ht="15" hidden="false" customHeight="false" outlineLevel="0" collapsed="false"/>
    <row r="2201" customFormat="false" ht="15" hidden="false" customHeight="false" outlineLevel="0" collapsed="false"/>
    <row r="2202" customFormat="false" ht="15" hidden="false" customHeight="false" outlineLevel="0" collapsed="false"/>
    <row r="2203" customFormat="false" ht="15" hidden="false" customHeight="false" outlineLevel="0" collapsed="false"/>
    <row r="2204" customFormat="false" ht="15" hidden="false" customHeight="false" outlineLevel="0" collapsed="false"/>
    <row r="2205" customFormat="false" ht="15" hidden="false" customHeight="false" outlineLevel="0" collapsed="false"/>
    <row r="2206" customFormat="false" ht="15" hidden="false" customHeight="false" outlineLevel="0" collapsed="false"/>
    <row r="2207" customFormat="false" ht="15" hidden="false" customHeight="false" outlineLevel="0" collapsed="false"/>
    <row r="2208" customFormat="false" ht="15" hidden="false" customHeight="false" outlineLevel="0" collapsed="false"/>
    <row r="2209" customFormat="false" ht="15" hidden="false" customHeight="false" outlineLevel="0" collapsed="false"/>
    <row r="2210" customFormat="false" ht="15" hidden="false" customHeight="false" outlineLevel="0" collapsed="false"/>
    <row r="2211" customFormat="false" ht="15" hidden="false" customHeight="false" outlineLevel="0" collapsed="false"/>
    <row r="2212" customFormat="false" ht="15" hidden="false" customHeight="false" outlineLevel="0" collapsed="false"/>
    <row r="2213" customFormat="false" ht="15" hidden="false" customHeight="false" outlineLevel="0" collapsed="false"/>
    <row r="2214" customFormat="false" ht="15" hidden="false" customHeight="false" outlineLevel="0" collapsed="false"/>
    <row r="2215" customFormat="false" ht="15" hidden="false" customHeight="false" outlineLevel="0" collapsed="false"/>
    <row r="2216" customFormat="false" ht="15" hidden="false" customHeight="false" outlineLevel="0" collapsed="false"/>
    <row r="2217" customFormat="false" ht="15" hidden="false" customHeight="false" outlineLevel="0" collapsed="false"/>
    <row r="2218" customFormat="false" ht="15" hidden="false" customHeight="false" outlineLevel="0" collapsed="false"/>
    <row r="2219" customFormat="false" ht="15" hidden="false" customHeight="false" outlineLevel="0" collapsed="false"/>
    <row r="2220" customFormat="false" ht="15" hidden="false" customHeight="false" outlineLevel="0" collapsed="false"/>
    <row r="2221" customFormat="false" ht="15" hidden="false" customHeight="false" outlineLevel="0" collapsed="false"/>
    <row r="2222" customFormat="false" ht="15" hidden="false" customHeight="false" outlineLevel="0" collapsed="false"/>
    <row r="2223" customFormat="false" ht="15" hidden="false" customHeight="false" outlineLevel="0" collapsed="false"/>
    <row r="2224" customFormat="false" ht="15" hidden="false" customHeight="false" outlineLevel="0" collapsed="false"/>
    <row r="2225" customFormat="false" ht="15" hidden="false" customHeight="false" outlineLevel="0" collapsed="false"/>
    <row r="2226" customFormat="false" ht="15" hidden="false" customHeight="false" outlineLevel="0" collapsed="false"/>
    <row r="2227" customFormat="false" ht="15" hidden="false" customHeight="false" outlineLevel="0" collapsed="false"/>
    <row r="2228" customFormat="false" ht="15" hidden="false" customHeight="false" outlineLevel="0" collapsed="false"/>
    <row r="2229" customFormat="false" ht="15" hidden="false" customHeight="false" outlineLevel="0" collapsed="false"/>
    <row r="2230" customFormat="false" ht="15" hidden="false" customHeight="false" outlineLevel="0" collapsed="false"/>
    <row r="2231" customFormat="false" ht="15" hidden="false" customHeight="false" outlineLevel="0" collapsed="false"/>
    <row r="2232" customFormat="false" ht="15" hidden="false" customHeight="false" outlineLevel="0" collapsed="false"/>
    <row r="2233" customFormat="false" ht="15" hidden="false" customHeight="false" outlineLevel="0" collapsed="false"/>
    <row r="2234" customFormat="false" ht="15" hidden="false" customHeight="false" outlineLevel="0" collapsed="false"/>
    <row r="2235" customFormat="false" ht="15" hidden="false" customHeight="false" outlineLevel="0" collapsed="false"/>
    <row r="2236" customFormat="false" ht="15" hidden="false" customHeight="false" outlineLevel="0" collapsed="false"/>
    <row r="2237" customFormat="false" ht="15" hidden="false" customHeight="false" outlineLevel="0" collapsed="false"/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5" hidden="false" customHeight="false" outlineLevel="0" collapsed="false"/>
    <row r="2242" customFormat="false" ht="15" hidden="false" customHeight="false" outlineLevel="0" collapsed="false"/>
    <row r="2243" customFormat="false" ht="15" hidden="false" customHeight="false" outlineLevel="0" collapsed="false"/>
    <row r="2244" customFormat="false" ht="15" hidden="false" customHeight="false" outlineLevel="0" collapsed="false"/>
    <row r="2245" customFormat="false" ht="15" hidden="false" customHeight="false" outlineLevel="0" collapsed="false"/>
    <row r="2246" customFormat="false" ht="15" hidden="false" customHeight="false" outlineLevel="0" collapsed="false"/>
    <row r="2247" customFormat="false" ht="15" hidden="false" customHeight="false" outlineLevel="0" collapsed="false"/>
    <row r="2248" customFormat="false" ht="15" hidden="false" customHeight="false" outlineLevel="0" collapsed="false"/>
    <row r="2249" customFormat="false" ht="15" hidden="false" customHeight="false" outlineLevel="0" collapsed="false"/>
    <row r="2250" customFormat="false" ht="15" hidden="false" customHeight="false" outlineLevel="0" collapsed="false"/>
    <row r="2251" customFormat="false" ht="15" hidden="false" customHeight="false" outlineLevel="0" collapsed="false"/>
    <row r="2252" customFormat="false" ht="15" hidden="false" customHeight="false" outlineLevel="0" collapsed="false"/>
    <row r="2253" customFormat="false" ht="15" hidden="false" customHeight="false" outlineLevel="0" collapsed="false"/>
    <row r="2254" customFormat="false" ht="15" hidden="false" customHeight="false" outlineLevel="0" collapsed="false"/>
    <row r="2255" customFormat="false" ht="15" hidden="false" customHeight="false" outlineLevel="0" collapsed="false"/>
    <row r="2256" customFormat="false" ht="15" hidden="false" customHeight="false" outlineLevel="0" collapsed="false"/>
    <row r="2257" customFormat="false" ht="15" hidden="false" customHeight="false" outlineLevel="0" collapsed="false"/>
    <row r="2258" customFormat="false" ht="15" hidden="false" customHeight="false" outlineLevel="0" collapsed="false"/>
    <row r="2259" customFormat="false" ht="15" hidden="false" customHeight="false" outlineLevel="0" collapsed="false"/>
    <row r="2260" customFormat="false" ht="15" hidden="false" customHeight="false" outlineLevel="0" collapsed="false"/>
    <row r="2261" customFormat="false" ht="15" hidden="false" customHeight="false" outlineLevel="0" collapsed="false"/>
    <row r="2262" customFormat="false" ht="15" hidden="false" customHeight="false" outlineLevel="0" collapsed="false"/>
    <row r="2263" customFormat="false" ht="15" hidden="false" customHeight="false" outlineLevel="0" collapsed="false"/>
    <row r="2264" customFormat="false" ht="15" hidden="false" customHeight="false" outlineLevel="0" collapsed="false"/>
    <row r="2265" customFormat="false" ht="15" hidden="false" customHeight="false" outlineLevel="0" collapsed="false"/>
    <row r="2266" customFormat="false" ht="15" hidden="false" customHeight="false" outlineLevel="0" collapsed="false"/>
    <row r="2267" customFormat="false" ht="15" hidden="false" customHeight="false" outlineLevel="0" collapsed="false"/>
    <row r="2268" customFormat="false" ht="15" hidden="false" customHeight="false" outlineLevel="0" collapsed="false"/>
    <row r="2269" customFormat="false" ht="15" hidden="false" customHeight="false" outlineLevel="0" collapsed="false"/>
    <row r="2270" customFormat="false" ht="15" hidden="false" customHeight="false" outlineLevel="0" collapsed="false"/>
    <row r="2271" customFormat="false" ht="15" hidden="false" customHeight="false" outlineLevel="0" collapsed="false"/>
    <row r="2272" customFormat="false" ht="15" hidden="false" customHeight="false" outlineLevel="0" collapsed="false"/>
    <row r="2273" customFormat="false" ht="15" hidden="false" customHeight="false" outlineLevel="0" collapsed="false"/>
    <row r="2274" customFormat="false" ht="15" hidden="false" customHeight="false" outlineLevel="0" collapsed="false"/>
    <row r="2275" customFormat="false" ht="15" hidden="false" customHeight="false" outlineLevel="0" collapsed="false"/>
    <row r="2276" customFormat="false" ht="15" hidden="false" customHeight="false" outlineLevel="0" collapsed="false"/>
    <row r="2277" customFormat="false" ht="15" hidden="false" customHeight="false" outlineLevel="0" collapsed="false"/>
    <row r="2278" customFormat="false" ht="15" hidden="false" customHeight="false" outlineLevel="0" collapsed="false"/>
    <row r="2279" customFormat="false" ht="15" hidden="false" customHeight="false" outlineLevel="0" collapsed="false"/>
    <row r="2280" customFormat="false" ht="15" hidden="false" customHeight="false" outlineLevel="0" collapsed="false"/>
    <row r="2281" customFormat="false" ht="15" hidden="false" customHeight="false" outlineLevel="0" collapsed="false"/>
    <row r="2282" customFormat="false" ht="15" hidden="false" customHeight="false" outlineLevel="0" collapsed="false"/>
    <row r="2283" customFormat="false" ht="15" hidden="false" customHeight="false" outlineLevel="0" collapsed="false"/>
    <row r="2284" customFormat="false" ht="15" hidden="false" customHeight="false" outlineLevel="0" collapsed="false"/>
    <row r="2285" customFormat="false" ht="15" hidden="false" customHeight="false" outlineLevel="0" collapsed="false"/>
    <row r="2286" customFormat="false" ht="15" hidden="false" customHeight="false" outlineLevel="0" collapsed="false"/>
    <row r="2287" customFormat="false" ht="15" hidden="false" customHeight="false" outlineLevel="0" collapsed="false"/>
    <row r="2288" customFormat="false" ht="15" hidden="false" customHeight="false" outlineLevel="0" collapsed="false"/>
    <row r="2289" customFormat="false" ht="15" hidden="false" customHeight="false" outlineLevel="0" collapsed="false"/>
    <row r="2290" customFormat="false" ht="15" hidden="false" customHeight="false" outlineLevel="0" collapsed="false"/>
    <row r="2291" customFormat="false" ht="15" hidden="false" customHeight="false" outlineLevel="0" collapsed="false"/>
    <row r="2292" customFormat="false" ht="15" hidden="false" customHeight="false" outlineLevel="0" collapsed="false"/>
    <row r="2293" customFormat="false" ht="15" hidden="false" customHeight="false" outlineLevel="0" collapsed="false"/>
    <row r="2294" customFormat="false" ht="15" hidden="false" customHeight="false" outlineLevel="0" collapsed="false"/>
    <row r="2295" customFormat="false" ht="15" hidden="false" customHeight="false" outlineLevel="0" collapsed="false"/>
    <row r="2296" customFormat="false" ht="15" hidden="false" customHeight="false" outlineLevel="0" collapsed="false"/>
    <row r="2297" customFormat="false" ht="15" hidden="false" customHeight="false" outlineLevel="0" collapsed="false"/>
    <row r="2298" customFormat="false" ht="15" hidden="false" customHeight="false" outlineLevel="0" collapsed="false"/>
    <row r="2299" customFormat="false" ht="15" hidden="false" customHeight="false" outlineLevel="0" collapsed="false"/>
    <row r="2300" customFormat="false" ht="15" hidden="false" customHeight="false" outlineLevel="0" collapsed="false"/>
    <row r="2301" customFormat="false" ht="15" hidden="false" customHeight="false" outlineLevel="0" collapsed="false"/>
    <row r="2302" customFormat="false" ht="15" hidden="false" customHeight="false" outlineLevel="0" collapsed="false"/>
    <row r="2303" customFormat="false" ht="15" hidden="false" customHeight="false" outlineLevel="0" collapsed="false"/>
    <row r="2304" customFormat="false" ht="15" hidden="false" customHeight="false" outlineLevel="0" collapsed="false"/>
    <row r="2305" customFormat="false" ht="15" hidden="false" customHeight="false" outlineLevel="0" collapsed="false"/>
    <row r="2306" customFormat="false" ht="15" hidden="false" customHeight="false" outlineLevel="0" collapsed="false"/>
    <row r="2307" customFormat="false" ht="15" hidden="false" customHeight="false" outlineLevel="0" collapsed="false"/>
    <row r="2308" customFormat="false" ht="15" hidden="false" customHeight="false" outlineLevel="0" collapsed="false"/>
    <row r="2309" customFormat="false" ht="15" hidden="false" customHeight="false" outlineLevel="0" collapsed="false"/>
    <row r="2310" customFormat="false" ht="15" hidden="false" customHeight="false" outlineLevel="0" collapsed="false"/>
    <row r="2311" customFormat="false" ht="15" hidden="false" customHeight="false" outlineLevel="0" collapsed="false"/>
    <row r="2312" customFormat="false" ht="15" hidden="false" customHeight="false" outlineLevel="0" collapsed="false"/>
    <row r="2313" customFormat="false" ht="15" hidden="false" customHeight="false" outlineLevel="0" collapsed="false"/>
    <row r="2314" customFormat="false" ht="15" hidden="false" customHeight="false" outlineLevel="0" collapsed="false"/>
    <row r="2315" customFormat="false" ht="15" hidden="false" customHeight="false" outlineLevel="0" collapsed="false"/>
    <row r="2316" customFormat="false" ht="15" hidden="false" customHeight="false" outlineLevel="0" collapsed="false"/>
    <row r="2317" customFormat="false" ht="15" hidden="false" customHeight="false" outlineLevel="0" collapsed="false"/>
    <row r="2318" customFormat="false" ht="15" hidden="false" customHeight="false" outlineLevel="0" collapsed="false"/>
    <row r="2319" customFormat="false" ht="15" hidden="false" customHeight="false" outlineLevel="0" collapsed="false"/>
    <row r="2320" customFormat="false" ht="15" hidden="false" customHeight="false" outlineLevel="0" collapsed="false"/>
    <row r="2321" customFormat="false" ht="15" hidden="false" customHeight="false" outlineLevel="0" collapsed="false"/>
    <row r="2322" customFormat="false" ht="15" hidden="false" customHeight="false" outlineLevel="0" collapsed="false"/>
    <row r="2323" customFormat="false" ht="15" hidden="false" customHeight="false" outlineLevel="0" collapsed="false"/>
    <row r="2324" customFormat="false" ht="15" hidden="false" customHeight="false" outlineLevel="0" collapsed="false"/>
    <row r="2325" customFormat="false" ht="15" hidden="false" customHeight="false" outlineLevel="0" collapsed="false"/>
    <row r="2326" customFormat="false" ht="15" hidden="false" customHeight="false" outlineLevel="0" collapsed="false"/>
    <row r="2327" customFormat="false" ht="15" hidden="false" customHeight="false" outlineLevel="0" collapsed="false"/>
    <row r="2328" customFormat="false" ht="15" hidden="false" customHeight="false" outlineLevel="0" collapsed="false"/>
    <row r="2329" customFormat="false" ht="15" hidden="false" customHeight="false" outlineLevel="0" collapsed="false"/>
    <row r="2330" customFormat="false" ht="15" hidden="false" customHeight="false" outlineLevel="0" collapsed="false"/>
    <row r="2331" customFormat="false" ht="15" hidden="false" customHeight="false" outlineLevel="0" collapsed="false"/>
    <row r="2332" customFormat="false" ht="15" hidden="false" customHeight="false" outlineLevel="0" collapsed="false"/>
    <row r="2333" customFormat="false" ht="15" hidden="false" customHeight="false" outlineLevel="0" collapsed="false"/>
    <row r="2334" customFormat="false" ht="15" hidden="false" customHeight="false" outlineLevel="0" collapsed="false"/>
    <row r="2335" customFormat="false" ht="15" hidden="false" customHeight="false" outlineLevel="0" collapsed="false"/>
    <row r="2336" customFormat="false" ht="15" hidden="false" customHeight="false" outlineLevel="0" collapsed="false"/>
    <row r="2337" customFormat="false" ht="15" hidden="false" customHeight="false" outlineLevel="0" collapsed="false"/>
    <row r="2338" customFormat="false" ht="15" hidden="false" customHeight="false" outlineLevel="0" collapsed="false"/>
    <row r="2339" customFormat="false" ht="15" hidden="false" customHeight="false" outlineLevel="0" collapsed="false"/>
    <row r="2340" customFormat="false" ht="15" hidden="false" customHeight="false" outlineLevel="0" collapsed="false"/>
    <row r="2341" customFormat="false" ht="15" hidden="false" customHeight="false" outlineLevel="0" collapsed="false"/>
    <row r="2342" customFormat="false" ht="15" hidden="false" customHeight="false" outlineLevel="0" collapsed="false"/>
    <row r="2343" customFormat="false" ht="15" hidden="false" customHeight="false" outlineLevel="0" collapsed="false"/>
    <row r="2344" customFormat="false" ht="15" hidden="false" customHeight="false" outlineLevel="0" collapsed="false"/>
    <row r="2345" customFormat="false" ht="15" hidden="false" customHeight="false" outlineLevel="0" collapsed="false"/>
    <row r="2346" customFormat="false" ht="15" hidden="false" customHeight="false" outlineLevel="0" collapsed="false"/>
    <row r="2347" customFormat="false" ht="15" hidden="false" customHeight="false" outlineLevel="0" collapsed="false"/>
    <row r="2348" customFormat="false" ht="15" hidden="false" customHeight="false" outlineLevel="0" collapsed="false"/>
    <row r="2349" customFormat="false" ht="15" hidden="false" customHeight="false" outlineLevel="0" collapsed="false"/>
    <row r="2350" customFormat="false" ht="15" hidden="false" customHeight="false" outlineLevel="0" collapsed="false"/>
    <row r="2351" customFormat="false" ht="15" hidden="false" customHeight="false" outlineLevel="0" collapsed="false"/>
    <row r="2352" customFormat="false" ht="15" hidden="false" customHeight="false" outlineLevel="0" collapsed="false"/>
    <row r="2353" customFormat="false" ht="15" hidden="false" customHeight="false" outlineLevel="0" collapsed="false"/>
    <row r="2354" customFormat="false" ht="15" hidden="false" customHeight="false" outlineLevel="0" collapsed="false"/>
    <row r="2355" customFormat="false" ht="15" hidden="false" customHeight="false" outlineLevel="0" collapsed="false"/>
    <row r="2356" customFormat="false" ht="15" hidden="false" customHeight="false" outlineLevel="0" collapsed="false"/>
    <row r="2357" customFormat="false" ht="15" hidden="false" customHeight="false" outlineLevel="0" collapsed="false"/>
    <row r="2358" customFormat="false" ht="15" hidden="false" customHeight="false" outlineLevel="0" collapsed="false"/>
    <row r="2359" customFormat="false" ht="15" hidden="false" customHeight="false" outlineLevel="0" collapsed="false"/>
    <row r="2360" customFormat="false" ht="15" hidden="false" customHeight="false" outlineLevel="0" collapsed="false"/>
    <row r="2361" customFormat="false" ht="15" hidden="false" customHeight="false" outlineLevel="0" collapsed="false"/>
    <row r="2362" customFormat="false" ht="15" hidden="false" customHeight="false" outlineLevel="0" collapsed="false"/>
    <row r="2363" customFormat="false" ht="15" hidden="false" customHeight="false" outlineLevel="0" collapsed="false"/>
    <row r="2364" customFormat="false" ht="15" hidden="false" customHeight="false" outlineLevel="0" collapsed="false"/>
    <row r="2365" customFormat="false" ht="15" hidden="false" customHeight="false" outlineLevel="0" collapsed="false"/>
    <row r="2366" customFormat="false" ht="15" hidden="false" customHeight="false" outlineLevel="0" collapsed="false"/>
    <row r="2367" customFormat="false" ht="15" hidden="false" customHeight="false" outlineLevel="0" collapsed="false"/>
    <row r="2368" customFormat="false" ht="15" hidden="false" customHeight="false" outlineLevel="0" collapsed="false"/>
    <row r="2369" customFormat="false" ht="15" hidden="false" customHeight="false" outlineLevel="0" collapsed="false"/>
    <row r="2370" customFormat="false" ht="15" hidden="false" customHeight="false" outlineLevel="0" collapsed="false"/>
    <row r="2371" customFormat="false" ht="15" hidden="false" customHeight="false" outlineLevel="0" collapsed="false"/>
    <row r="2372" customFormat="false" ht="15" hidden="false" customHeight="false" outlineLevel="0" collapsed="false"/>
    <row r="2373" customFormat="false" ht="15" hidden="false" customHeight="false" outlineLevel="0" collapsed="false"/>
    <row r="2374" customFormat="false" ht="15" hidden="false" customHeight="false" outlineLevel="0" collapsed="false"/>
    <row r="2375" customFormat="false" ht="15" hidden="false" customHeight="false" outlineLevel="0" collapsed="false"/>
    <row r="2376" customFormat="false" ht="15" hidden="false" customHeight="false" outlineLevel="0" collapsed="false"/>
    <row r="2377" customFormat="false" ht="15" hidden="false" customHeight="false" outlineLevel="0" collapsed="false"/>
    <row r="2378" customFormat="false" ht="15" hidden="false" customHeight="false" outlineLevel="0" collapsed="false"/>
    <row r="2379" customFormat="false" ht="15" hidden="false" customHeight="false" outlineLevel="0" collapsed="false"/>
    <row r="2380" customFormat="false" ht="15" hidden="false" customHeight="false" outlineLevel="0" collapsed="false"/>
    <row r="2381" customFormat="false" ht="15" hidden="false" customHeight="false" outlineLevel="0" collapsed="false"/>
    <row r="2382" customFormat="false" ht="15" hidden="false" customHeight="false" outlineLevel="0" collapsed="false"/>
    <row r="2383" customFormat="false" ht="15" hidden="false" customHeight="false" outlineLevel="0" collapsed="false"/>
    <row r="2384" customFormat="false" ht="15" hidden="false" customHeight="false" outlineLevel="0" collapsed="false"/>
    <row r="2385" customFormat="false" ht="15" hidden="false" customHeight="false" outlineLevel="0" collapsed="false"/>
    <row r="2386" customFormat="false" ht="15" hidden="false" customHeight="false" outlineLevel="0" collapsed="false"/>
    <row r="2387" customFormat="false" ht="15" hidden="false" customHeight="false" outlineLevel="0" collapsed="false"/>
    <row r="2388" customFormat="false" ht="15" hidden="false" customHeight="false" outlineLevel="0" collapsed="false"/>
    <row r="2389" customFormat="false" ht="15" hidden="false" customHeight="false" outlineLevel="0" collapsed="false"/>
    <row r="2390" customFormat="false" ht="15" hidden="false" customHeight="false" outlineLevel="0" collapsed="false"/>
    <row r="2391" customFormat="false" ht="15" hidden="false" customHeight="false" outlineLevel="0" collapsed="false"/>
    <row r="2392" customFormat="false" ht="15" hidden="false" customHeight="false" outlineLevel="0" collapsed="false"/>
    <row r="2393" customFormat="false" ht="15" hidden="false" customHeight="false" outlineLevel="0" collapsed="false"/>
    <row r="2394" customFormat="false" ht="15" hidden="false" customHeight="false" outlineLevel="0" collapsed="false"/>
    <row r="2395" customFormat="false" ht="15" hidden="false" customHeight="false" outlineLevel="0" collapsed="false"/>
    <row r="2396" customFormat="false" ht="15" hidden="false" customHeight="false" outlineLevel="0" collapsed="false"/>
    <row r="2397" customFormat="false" ht="15" hidden="false" customHeight="false" outlineLevel="0" collapsed="false"/>
    <row r="2398" customFormat="false" ht="15" hidden="false" customHeight="false" outlineLevel="0" collapsed="false"/>
    <row r="2399" customFormat="false" ht="15" hidden="false" customHeight="false" outlineLevel="0" collapsed="false"/>
    <row r="2400" customFormat="false" ht="15" hidden="false" customHeight="false" outlineLevel="0" collapsed="false"/>
    <row r="2401" customFormat="false" ht="15" hidden="false" customHeight="false" outlineLevel="0" collapsed="false"/>
    <row r="2402" customFormat="false" ht="15" hidden="false" customHeight="false" outlineLevel="0" collapsed="false"/>
    <row r="2403" customFormat="false" ht="15" hidden="false" customHeight="false" outlineLevel="0" collapsed="false"/>
    <row r="2404" customFormat="false" ht="15" hidden="false" customHeight="false" outlineLevel="0" collapsed="false"/>
    <row r="2405" customFormat="false" ht="15" hidden="false" customHeight="false" outlineLevel="0" collapsed="false"/>
    <row r="2406" customFormat="false" ht="15" hidden="false" customHeight="false" outlineLevel="0" collapsed="false"/>
    <row r="2407" customFormat="false" ht="15" hidden="false" customHeight="false" outlineLevel="0" collapsed="false"/>
    <row r="2408" customFormat="false" ht="15" hidden="false" customHeight="false" outlineLevel="0" collapsed="false"/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/>
    <row r="2412" customFormat="false" ht="15" hidden="false" customHeight="false" outlineLevel="0" collapsed="false"/>
    <row r="2413" customFormat="false" ht="15" hidden="false" customHeight="false" outlineLevel="0" collapsed="false"/>
    <row r="2414" customFormat="false" ht="15" hidden="false" customHeight="false" outlineLevel="0" collapsed="false"/>
    <row r="2415" customFormat="false" ht="15" hidden="false" customHeight="false" outlineLevel="0" collapsed="false"/>
    <row r="2416" customFormat="false" ht="15" hidden="false" customHeight="false" outlineLevel="0" collapsed="false"/>
    <row r="2417" customFormat="false" ht="15" hidden="false" customHeight="false" outlineLevel="0" collapsed="false"/>
    <row r="2418" customFormat="false" ht="15" hidden="false" customHeight="false" outlineLevel="0" collapsed="false"/>
    <row r="2419" customFormat="false" ht="15" hidden="false" customHeight="false" outlineLevel="0" collapsed="false"/>
    <row r="2420" customFormat="false" ht="15" hidden="false" customHeight="false" outlineLevel="0" collapsed="false"/>
    <row r="2421" customFormat="false" ht="15" hidden="false" customHeight="false" outlineLevel="0" collapsed="false"/>
    <row r="2422" customFormat="false" ht="15" hidden="false" customHeight="false" outlineLevel="0" collapsed="false"/>
    <row r="2423" customFormat="false" ht="15" hidden="false" customHeight="false" outlineLevel="0" collapsed="false"/>
    <row r="2424" customFormat="false" ht="15" hidden="false" customHeight="false" outlineLevel="0" collapsed="false"/>
    <row r="2425" customFormat="false" ht="15" hidden="false" customHeight="false" outlineLevel="0" collapsed="false"/>
    <row r="2426" customFormat="false" ht="15" hidden="false" customHeight="false" outlineLevel="0" collapsed="false"/>
    <row r="2427" customFormat="false" ht="15" hidden="false" customHeight="false" outlineLevel="0" collapsed="false"/>
    <row r="2428" customFormat="false" ht="15" hidden="false" customHeight="false" outlineLevel="0" collapsed="false"/>
    <row r="2429" customFormat="false" ht="15" hidden="false" customHeight="false" outlineLevel="0" collapsed="false"/>
    <row r="2430" customFormat="false" ht="15" hidden="false" customHeight="false" outlineLevel="0" collapsed="false"/>
    <row r="2431" customFormat="false" ht="15" hidden="false" customHeight="false" outlineLevel="0" collapsed="false"/>
    <row r="2432" customFormat="false" ht="15" hidden="false" customHeight="false" outlineLevel="0" collapsed="false"/>
    <row r="2433" customFormat="false" ht="15" hidden="false" customHeight="false" outlineLevel="0" collapsed="false"/>
    <row r="2434" customFormat="false" ht="15" hidden="false" customHeight="false" outlineLevel="0" collapsed="false"/>
    <row r="2435" customFormat="false" ht="15" hidden="false" customHeight="false" outlineLevel="0" collapsed="false"/>
    <row r="2436" customFormat="false" ht="15" hidden="false" customHeight="false" outlineLevel="0" collapsed="false"/>
    <row r="2437" customFormat="false" ht="15" hidden="false" customHeight="false" outlineLevel="0" collapsed="false"/>
    <row r="2438" customFormat="false" ht="15" hidden="false" customHeight="false" outlineLevel="0" collapsed="false"/>
    <row r="2439" customFormat="false" ht="15" hidden="false" customHeight="false" outlineLevel="0" collapsed="false"/>
    <row r="2440" customFormat="false" ht="15" hidden="false" customHeight="false" outlineLevel="0" collapsed="false"/>
    <row r="2441" customFormat="false" ht="15" hidden="false" customHeight="false" outlineLevel="0" collapsed="false"/>
    <row r="2442" customFormat="false" ht="15" hidden="false" customHeight="false" outlineLevel="0" collapsed="false"/>
    <row r="2443" customFormat="false" ht="15" hidden="false" customHeight="false" outlineLevel="0" collapsed="false"/>
    <row r="2444" customFormat="false" ht="15" hidden="false" customHeight="false" outlineLevel="0" collapsed="false"/>
    <row r="2445" customFormat="false" ht="15" hidden="false" customHeight="false" outlineLevel="0" collapsed="false"/>
    <row r="2446" customFormat="false" ht="15" hidden="false" customHeight="false" outlineLevel="0" collapsed="false"/>
    <row r="2447" customFormat="false" ht="15" hidden="false" customHeight="false" outlineLevel="0" collapsed="false"/>
    <row r="2448" customFormat="false" ht="15" hidden="false" customHeight="false" outlineLevel="0" collapsed="false"/>
    <row r="2449" customFormat="false" ht="15" hidden="false" customHeight="false" outlineLevel="0" collapsed="false"/>
    <row r="2450" customFormat="false" ht="15" hidden="false" customHeight="false" outlineLevel="0" collapsed="false"/>
    <row r="2451" customFormat="false" ht="15" hidden="false" customHeight="false" outlineLevel="0" collapsed="false"/>
    <row r="2452" customFormat="false" ht="15" hidden="false" customHeight="false" outlineLevel="0" collapsed="false"/>
    <row r="2453" customFormat="false" ht="15" hidden="false" customHeight="false" outlineLevel="0" collapsed="false"/>
    <row r="2454" customFormat="false" ht="15" hidden="false" customHeight="false" outlineLevel="0" collapsed="false"/>
    <row r="2455" customFormat="false" ht="15" hidden="false" customHeight="false" outlineLevel="0" collapsed="false"/>
    <row r="2456" customFormat="false" ht="15" hidden="false" customHeight="false" outlineLevel="0" collapsed="false"/>
    <row r="2457" customFormat="false" ht="15" hidden="false" customHeight="false" outlineLevel="0" collapsed="false"/>
    <row r="2458" customFormat="false" ht="15" hidden="false" customHeight="false" outlineLevel="0" collapsed="false"/>
    <row r="2459" customFormat="false" ht="15" hidden="false" customHeight="false" outlineLevel="0" collapsed="false"/>
    <row r="2460" customFormat="false" ht="15" hidden="false" customHeight="false" outlineLevel="0" collapsed="false"/>
    <row r="2461" customFormat="false" ht="15" hidden="false" customHeight="false" outlineLevel="0" collapsed="false"/>
    <row r="2462" customFormat="false" ht="15" hidden="false" customHeight="false" outlineLevel="0" collapsed="false"/>
    <row r="2463" customFormat="false" ht="15" hidden="false" customHeight="false" outlineLevel="0" collapsed="false"/>
    <row r="2464" customFormat="false" ht="15" hidden="false" customHeight="false" outlineLevel="0" collapsed="false"/>
    <row r="2465" customFormat="false" ht="15" hidden="false" customHeight="false" outlineLevel="0" collapsed="false"/>
    <row r="2466" customFormat="false" ht="15" hidden="false" customHeight="false" outlineLevel="0" collapsed="false"/>
    <row r="2467" customFormat="false" ht="15" hidden="false" customHeight="false" outlineLevel="0" collapsed="false"/>
    <row r="2468" customFormat="false" ht="15" hidden="false" customHeight="false" outlineLevel="0" collapsed="false"/>
    <row r="2469" customFormat="false" ht="15" hidden="false" customHeight="false" outlineLevel="0" collapsed="false"/>
    <row r="2470" customFormat="false" ht="15" hidden="false" customHeight="false" outlineLevel="0" collapsed="false"/>
    <row r="2471" customFormat="false" ht="15" hidden="false" customHeight="false" outlineLevel="0" collapsed="false"/>
    <row r="2472" customFormat="false" ht="15" hidden="false" customHeight="false" outlineLevel="0" collapsed="false"/>
    <row r="2473" customFormat="false" ht="15" hidden="false" customHeight="false" outlineLevel="0" collapsed="false"/>
    <row r="2474" customFormat="false" ht="15" hidden="false" customHeight="false" outlineLevel="0" collapsed="false"/>
    <row r="2475" customFormat="false" ht="15" hidden="false" customHeight="false" outlineLevel="0" collapsed="false"/>
    <row r="2476" customFormat="false" ht="15" hidden="false" customHeight="false" outlineLevel="0" collapsed="false"/>
    <row r="2477" customFormat="false" ht="15" hidden="false" customHeight="false" outlineLevel="0" collapsed="false"/>
    <row r="2478" customFormat="false" ht="15" hidden="false" customHeight="false" outlineLevel="0" collapsed="false"/>
    <row r="2479" customFormat="false" ht="15" hidden="false" customHeight="false" outlineLevel="0" collapsed="false"/>
    <row r="2480" customFormat="false" ht="15" hidden="false" customHeight="false" outlineLevel="0" collapsed="false"/>
    <row r="2481" customFormat="false" ht="15" hidden="false" customHeight="false" outlineLevel="0" collapsed="false"/>
    <row r="2482" customFormat="false" ht="15" hidden="false" customHeight="false" outlineLevel="0" collapsed="false"/>
    <row r="2483" customFormat="false" ht="15" hidden="false" customHeight="false" outlineLevel="0" collapsed="false"/>
    <row r="2484" customFormat="false" ht="15" hidden="false" customHeight="false" outlineLevel="0" collapsed="false"/>
    <row r="2485" customFormat="false" ht="15" hidden="false" customHeight="false" outlineLevel="0" collapsed="false"/>
    <row r="2486" customFormat="false" ht="15" hidden="false" customHeight="false" outlineLevel="0" collapsed="false"/>
    <row r="2487" customFormat="false" ht="15" hidden="false" customHeight="false" outlineLevel="0" collapsed="false"/>
    <row r="2488" customFormat="false" ht="15" hidden="false" customHeight="false" outlineLevel="0" collapsed="false"/>
    <row r="2489" customFormat="false" ht="15" hidden="false" customHeight="false" outlineLevel="0" collapsed="false"/>
    <row r="2490" customFormat="false" ht="15" hidden="false" customHeight="false" outlineLevel="0" collapsed="false"/>
    <row r="2491" customFormat="false" ht="15" hidden="false" customHeight="false" outlineLevel="0" collapsed="false"/>
    <row r="2492" customFormat="false" ht="15" hidden="false" customHeight="false" outlineLevel="0" collapsed="false"/>
    <row r="2493" customFormat="false" ht="15" hidden="false" customHeight="false" outlineLevel="0" collapsed="false"/>
    <row r="2494" customFormat="false" ht="15" hidden="false" customHeight="false" outlineLevel="0" collapsed="false"/>
    <row r="2495" customFormat="false" ht="15" hidden="false" customHeight="false" outlineLevel="0" collapsed="false"/>
    <row r="2496" customFormat="false" ht="15" hidden="false" customHeight="false" outlineLevel="0" collapsed="false"/>
    <row r="2497" customFormat="false" ht="15" hidden="false" customHeight="false" outlineLevel="0" collapsed="false"/>
    <row r="2498" customFormat="false" ht="15" hidden="false" customHeight="false" outlineLevel="0" collapsed="false"/>
    <row r="2499" customFormat="false" ht="15" hidden="false" customHeight="false" outlineLevel="0" collapsed="false"/>
    <row r="2500" customFormat="false" ht="15" hidden="false" customHeight="false" outlineLevel="0" collapsed="false"/>
    <row r="2501" customFormat="false" ht="15" hidden="false" customHeight="false" outlineLevel="0" collapsed="false"/>
    <row r="2502" customFormat="false" ht="15" hidden="false" customHeight="false" outlineLevel="0" collapsed="false"/>
    <row r="2503" customFormat="false" ht="15" hidden="false" customHeight="false" outlineLevel="0" collapsed="false"/>
    <row r="2504" customFormat="false" ht="15" hidden="false" customHeight="false" outlineLevel="0" collapsed="false"/>
    <row r="2505" customFormat="false" ht="15" hidden="false" customHeight="false" outlineLevel="0" collapsed="false"/>
    <row r="2506" customFormat="false" ht="15" hidden="false" customHeight="false" outlineLevel="0" collapsed="false"/>
    <row r="2507" customFormat="false" ht="15" hidden="false" customHeight="false" outlineLevel="0" collapsed="false"/>
    <row r="2508" customFormat="false" ht="15" hidden="false" customHeight="false" outlineLevel="0" collapsed="false"/>
    <row r="2509" customFormat="false" ht="15" hidden="false" customHeight="false" outlineLevel="0" collapsed="false"/>
    <row r="2510" customFormat="false" ht="15" hidden="false" customHeight="false" outlineLevel="0" collapsed="false"/>
    <row r="2511" customFormat="false" ht="15" hidden="false" customHeight="false" outlineLevel="0" collapsed="false"/>
    <row r="2512" customFormat="false" ht="15" hidden="false" customHeight="false" outlineLevel="0" collapsed="false"/>
    <row r="2513" customFormat="false" ht="15" hidden="false" customHeight="false" outlineLevel="0" collapsed="false"/>
    <row r="2514" customFormat="false" ht="15" hidden="false" customHeight="false" outlineLevel="0" collapsed="false"/>
    <row r="2515" customFormat="false" ht="15" hidden="false" customHeight="false" outlineLevel="0" collapsed="false"/>
    <row r="2516" customFormat="false" ht="15" hidden="false" customHeight="false" outlineLevel="0" collapsed="false"/>
    <row r="2517" customFormat="false" ht="15" hidden="false" customHeight="false" outlineLevel="0" collapsed="false"/>
    <row r="2518" customFormat="false" ht="15" hidden="false" customHeight="false" outlineLevel="0" collapsed="false"/>
    <row r="2519" customFormat="false" ht="15" hidden="false" customHeight="false" outlineLevel="0" collapsed="false"/>
    <row r="2520" customFormat="false" ht="15" hidden="false" customHeight="false" outlineLevel="0" collapsed="false"/>
    <row r="2521" customFormat="false" ht="15" hidden="false" customHeight="false" outlineLevel="0" collapsed="false"/>
    <row r="2522" customFormat="false" ht="15" hidden="false" customHeight="false" outlineLevel="0" collapsed="false"/>
    <row r="2523" customFormat="false" ht="15" hidden="false" customHeight="false" outlineLevel="0" collapsed="false"/>
    <row r="2524" customFormat="false" ht="15" hidden="false" customHeight="false" outlineLevel="0" collapsed="false"/>
    <row r="2525" customFormat="false" ht="15" hidden="false" customHeight="false" outlineLevel="0" collapsed="false"/>
    <row r="2526" customFormat="false" ht="15" hidden="false" customHeight="false" outlineLevel="0" collapsed="false"/>
    <row r="2527" customFormat="false" ht="15" hidden="false" customHeight="false" outlineLevel="0" collapsed="false"/>
    <row r="2528" customFormat="false" ht="15" hidden="false" customHeight="false" outlineLevel="0" collapsed="false"/>
    <row r="2529" customFormat="false" ht="15" hidden="false" customHeight="false" outlineLevel="0" collapsed="false"/>
    <row r="2530" customFormat="false" ht="15" hidden="false" customHeight="false" outlineLevel="0" collapsed="false"/>
    <row r="2531" customFormat="false" ht="15" hidden="false" customHeight="false" outlineLevel="0" collapsed="false"/>
    <row r="2532" customFormat="false" ht="15" hidden="false" customHeight="false" outlineLevel="0" collapsed="false"/>
    <row r="2533" customFormat="false" ht="15" hidden="false" customHeight="false" outlineLevel="0" collapsed="false"/>
    <row r="2534" customFormat="false" ht="15" hidden="false" customHeight="false" outlineLevel="0" collapsed="false"/>
    <row r="2535" customFormat="false" ht="15" hidden="false" customHeight="false" outlineLevel="0" collapsed="false"/>
    <row r="2536" customFormat="false" ht="15" hidden="false" customHeight="false" outlineLevel="0" collapsed="false"/>
    <row r="2537" customFormat="false" ht="15" hidden="false" customHeight="false" outlineLevel="0" collapsed="false"/>
    <row r="2538" customFormat="false" ht="15" hidden="false" customHeight="false" outlineLevel="0" collapsed="false"/>
    <row r="2539" customFormat="false" ht="15" hidden="false" customHeight="false" outlineLevel="0" collapsed="false"/>
    <row r="2540" customFormat="false" ht="15" hidden="false" customHeight="false" outlineLevel="0" collapsed="false"/>
    <row r="2541" customFormat="false" ht="15" hidden="false" customHeight="false" outlineLevel="0" collapsed="false"/>
    <row r="2542" customFormat="false" ht="15" hidden="false" customHeight="false" outlineLevel="0" collapsed="false"/>
    <row r="2543" customFormat="false" ht="15" hidden="false" customHeight="false" outlineLevel="0" collapsed="false"/>
    <row r="2544" customFormat="false" ht="15" hidden="false" customHeight="false" outlineLevel="0" collapsed="false"/>
    <row r="2545" customFormat="false" ht="15" hidden="false" customHeight="false" outlineLevel="0" collapsed="false"/>
    <row r="2546" customFormat="false" ht="15" hidden="false" customHeight="false" outlineLevel="0" collapsed="false"/>
    <row r="2547" customFormat="false" ht="15" hidden="false" customHeight="false" outlineLevel="0" collapsed="false"/>
    <row r="2548" customFormat="false" ht="15" hidden="false" customHeight="false" outlineLevel="0" collapsed="false"/>
    <row r="2549" customFormat="false" ht="15" hidden="false" customHeight="false" outlineLevel="0" collapsed="false"/>
    <row r="2550" customFormat="false" ht="15" hidden="false" customHeight="false" outlineLevel="0" collapsed="false"/>
    <row r="2551" customFormat="false" ht="15" hidden="false" customHeight="false" outlineLevel="0" collapsed="false"/>
    <row r="2552" customFormat="false" ht="15" hidden="false" customHeight="false" outlineLevel="0" collapsed="false"/>
    <row r="2553" customFormat="false" ht="15" hidden="false" customHeight="false" outlineLevel="0" collapsed="false"/>
    <row r="2554" customFormat="false" ht="15" hidden="false" customHeight="false" outlineLevel="0" collapsed="false"/>
    <row r="2555" customFormat="false" ht="15" hidden="false" customHeight="false" outlineLevel="0" collapsed="false"/>
    <row r="2556" customFormat="false" ht="15" hidden="false" customHeight="false" outlineLevel="0" collapsed="false"/>
    <row r="2557" customFormat="false" ht="15" hidden="false" customHeight="false" outlineLevel="0" collapsed="false"/>
    <row r="2558" customFormat="false" ht="15" hidden="false" customHeight="false" outlineLevel="0" collapsed="false"/>
    <row r="2559" customFormat="false" ht="15" hidden="false" customHeight="false" outlineLevel="0" collapsed="false"/>
    <row r="2560" customFormat="false" ht="15" hidden="false" customHeight="false" outlineLevel="0" collapsed="false"/>
    <row r="2561" customFormat="false" ht="15" hidden="false" customHeight="false" outlineLevel="0" collapsed="false"/>
    <row r="2562" customFormat="false" ht="15" hidden="false" customHeight="false" outlineLevel="0" collapsed="false"/>
    <row r="2563" customFormat="false" ht="15" hidden="false" customHeight="false" outlineLevel="0" collapsed="false"/>
    <row r="2564" customFormat="false" ht="15" hidden="false" customHeight="false" outlineLevel="0" collapsed="false"/>
    <row r="2565" customFormat="false" ht="15" hidden="false" customHeight="false" outlineLevel="0" collapsed="false"/>
    <row r="2566" customFormat="false" ht="15" hidden="false" customHeight="false" outlineLevel="0" collapsed="false"/>
    <row r="2567" customFormat="false" ht="15" hidden="false" customHeight="false" outlineLevel="0" collapsed="false"/>
    <row r="2568" customFormat="false" ht="15" hidden="false" customHeight="false" outlineLevel="0" collapsed="false"/>
    <row r="2569" customFormat="false" ht="15" hidden="false" customHeight="false" outlineLevel="0" collapsed="false"/>
    <row r="2570" customFormat="false" ht="15" hidden="false" customHeight="false" outlineLevel="0" collapsed="false"/>
    <row r="2571" customFormat="false" ht="15" hidden="false" customHeight="false" outlineLevel="0" collapsed="false"/>
    <row r="2572" customFormat="false" ht="15" hidden="false" customHeight="false" outlineLevel="0" collapsed="false"/>
    <row r="2573" customFormat="false" ht="15" hidden="false" customHeight="false" outlineLevel="0" collapsed="false"/>
    <row r="2574" customFormat="false" ht="15" hidden="false" customHeight="false" outlineLevel="0" collapsed="false"/>
    <row r="2575" customFormat="false" ht="15" hidden="false" customHeight="false" outlineLevel="0" collapsed="false"/>
    <row r="2576" customFormat="false" ht="15" hidden="false" customHeight="false" outlineLevel="0" collapsed="false"/>
    <row r="2577" customFormat="false" ht="15" hidden="false" customHeight="false" outlineLevel="0" collapsed="false"/>
    <row r="2578" customFormat="false" ht="15" hidden="false" customHeight="false" outlineLevel="0" collapsed="false"/>
    <row r="2579" customFormat="false" ht="15" hidden="false" customHeight="false" outlineLevel="0" collapsed="false"/>
    <row r="2580" customFormat="false" ht="15" hidden="false" customHeight="false" outlineLevel="0" collapsed="false"/>
    <row r="2581" customFormat="false" ht="15" hidden="false" customHeight="false" outlineLevel="0" collapsed="false"/>
    <row r="2582" customFormat="false" ht="15" hidden="false" customHeight="false" outlineLevel="0" collapsed="false"/>
    <row r="2583" customFormat="false" ht="15" hidden="false" customHeight="false" outlineLevel="0" collapsed="false"/>
    <row r="2584" customFormat="false" ht="15" hidden="false" customHeight="false" outlineLevel="0" collapsed="false"/>
    <row r="2585" customFormat="false" ht="15" hidden="false" customHeight="false" outlineLevel="0" collapsed="false"/>
    <row r="2586" customFormat="false" ht="15" hidden="false" customHeight="false" outlineLevel="0" collapsed="false"/>
    <row r="2587" customFormat="false" ht="15" hidden="false" customHeight="false" outlineLevel="0" collapsed="false"/>
    <row r="2588" customFormat="false" ht="15" hidden="false" customHeight="false" outlineLevel="0" collapsed="false"/>
    <row r="2589" customFormat="false" ht="15" hidden="false" customHeight="false" outlineLevel="0" collapsed="false"/>
    <row r="2590" customFormat="false" ht="15" hidden="false" customHeight="false" outlineLevel="0" collapsed="false"/>
    <row r="2591" customFormat="false" ht="15" hidden="false" customHeight="false" outlineLevel="0" collapsed="false"/>
    <row r="2592" customFormat="false" ht="15" hidden="false" customHeight="false" outlineLevel="0" collapsed="false"/>
    <row r="2593" customFormat="false" ht="15" hidden="false" customHeight="false" outlineLevel="0" collapsed="false"/>
    <row r="2594" customFormat="false" ht="15" hidden="false" customHeight="false" outlineLevel="0" collapsed="false"/>
    <row r="2595" customFormat="false" ht="15" hidden="false" customHeight="false" outlineLevel="0" collapsed="false"/>
    <row r="2596" customFormat="false" ht="15" hidden="false" customHeight="false" outlineLevel="0" collapsed="false"/>
    <row r="2597" customFormat="false" ht="15" hidden="false" customHeight="false" outlineLevel="0" collapsed="false"/>
    <row r="2598" customFormat="false" ht="15" hidden="false" customHeight="false" outlineLevel="0" collapsed="false"/>
    <row r="2599" customFormat="false" ht="15" hidden="false" customHeight="false" outlineLevel="0" collapsed="false"/>
    <row r="2600" customFormat="false" ht="15" hidden="false" customHeight="false" outlineLevel="0" collapsed="false"/>
    <row r="2601" customFormat="false" ht="15" hidden="false" customHeight="false" outlineLevel="0" collapsed="false"/>
    <row r="2602" customFormat="false" ht="15" hidden="false" customHeight="false" outlineLevel="0" collapsed="false"/>
    <row r="2603" customFormat="false" ht="15" hidden="false" customHeight="false" outlineLevel="0" collapsed="false"/>
    <row r="2604" customFormat="false" ht="15" hidden="false" customHeight="false" outlineLevel="0" collapsed="false"/>
    <row r="2605" customFormat="false" ht="15" hidden="false" customHeight="false" outlineLevel="0" collapsed="false"/>
    <row r="2606" customFormat="false" ht="15" hidden="false" customHeight="false" outlineLevel="0" collapsed="false"/>
    <row r="2607" customFormat="false" ht="15" hidden="false" customHeight="false" outlineLevel="0" collapsed="false"/>
    <row r="2608" customFormat="false" ht="15" hidden="false" customHeight="false" outlineLevel="0" collapsed="false"/>
    <row r="2609" customFormat="false" ht="15" hidden="false" customHeight="false" outlineLevel="0" collapsed="false"/>
    <row r="2610" customFormat="false" ht="15" hidden="false" customHeight="false" outlineLevel="0" collapsed="false"/>
    <row r="2611" customFormat="false" ht="15" hidden="false" customHeight="false" outlineLevel="0" collapsed="false"/>
    <row r="2612" customFormat="false" ht="15" hidden="false" customHeight="false" outlineLevel="0" collapsed="false"/>
    <row r="2613" customFormat="false" ht="15" hidden="false" customHeight="false" outlineLevel="0" collapsed="false"/>
    <row r="2614" customFormat="false" ht="15" hidden="false" customHeight="false" outlineLevel="0" collapsed="false"/>
    <row r="2615" customFormat="false" ht="15" hidden="false" customHeight="false" outlineLevel="0" collapsed="false"/>
    <row r="2616" customFormat="false" ht="15" hidden="false" customHeight="false" outlineLevel="0" collapsed="false"/>
    <row r="2617" customFormat="false" ht="15" hidden="false" customHeight="false" outlineLevel="0" collapsed="false"/>
    <row r="2618" customFormat="false" ht="15" hidden="false" customHeight="false" outlineLevel="0" collapsed="false"/>
    <row r="2619" customFormat="false" ht="15" hidden="false" customHeight="false" outlineLevel="0" collapsed="false"/>
    <row r="2620" customFormat="false" ht="15" hidden="false" customHeight="false" outlineLevel="0" collapsed="false"/>
    <row r="2621" customFormat="false" ht="15" hidden="false" customHeight="false" outlineLevel="0" collapsed="false"/>
    <row r="2622" customFormat="false" ht="15" hidden="false" customHeight="false" outlineLevel="0" collapsed="false"/>
    <row r="2623" customFormat="false" ht="15" hidden="false" customHeight="false" outlineLevel="0" collapsed="false"/>
    <row r="2624" customFormat="false" ht="15" hidden="false" customHeight="false" outlineLevel="0" collapsed="false"/>
    <row r="2625" customFormat="false" ht="15" hidden="false" customHeight="false" outlineLevel="0" collapsed="false"/>
    <row r="2626" customFormat="false" ht="15" hidden="false" customHeight="false" outlineLevel="0" collapsed="false"/>
    <row r="2627" customFormat="false" ht="15" hidden="false" customHeight="false" outlineLevel="0" collapsed="false"/>
    <row r="2628" customFormat="false" ht="15" hidden="false" customHeight="false" outlineLevel="0" collapsed="false"/>
    <row r="2629" customFormat="false" ht="15" hidden="false" customHeight="false" outlineLevel="0" collapsed="false"/>
    <row r="2630" customFormat="false" ht="15" hidden="false" customHeight="false" outlineLevel="0" collapsed="false"/>
    <row r="2631" customFormat="false" ht="15" hidden="false" customHeight="false" outlineLevel="0" collapsed="false"/>
    <row r="2632" customFormat="false" ht="15" hidden="false" customHeight="false" outlineLevel="0" collapsed="false"/>
    <row r="2633" customFormat="false" ht="15" hidden="false" customHeight="false" outlineLevel="0" collapsed="false"/>
    <row r="2634" customFormat="false" ht="15" hidden="false" customHeight="false" outlineLevel="0" collapsed="false"/>
    <row r="2635" customFormat="false" ht="15" hidden="false" customHeight="false" outlineLevel="0" collapsed="false"/>
    <row r="2636" customFormat="false" ht="15" hidden="false" customHeight="false" outlineLevel="0" collapsed="false"/>
    <row r="2637" customFormat="false" ht="15" hidden="false" customHeight="false" outlineLevel="0" collapsed="false"/>
    <row r="2638" customFormat="false" ht="15" hidden="false" customHeight="false" outlineLevel="0" collapsed="false"/>
    <row r="2639" customFormat="false" ht="15" hidden="false" customHeight="false" outlineLevel="0" collapsed="false"/>
    <row r="2640" customFormat="false" ht="15" hidden="false" customHeight="false" outlineLevel="0" collapsed="false"/>
    <row r="2641" customFormat="false" ht="15" hidden="false" customHeight="false" outlineLevel="0" collapsed="false"/>
    <row r="2642" customFormat="false" ht="15" hidden="false" customHeight="false" outlineLevel="0" collapsed="false"/>
    <row r="2643" customFormat="false" ht="15" hidden="false" customHeight="false" outlineLevel="0" collapsed="false"/>
    <row r="2644" customFormat="false" ht="15" hidden="false" customHeight="false" outlineLevel="0" collapsed="false"/>
    <row r="2645" customFormat="false" ht="15" hidden="false" customHeight="false" outlineLevel="0" collapsed="false"/>
    <row r="2646" customFormat="false" ht="15" hidden="false" customHeight="false" outlineLevel="0" collapsed="false"/>
    <row r="2647" customFormat="false" ht="15" hidden="false" customHeight="false" outlineLevel="0" collapsed="false"/>
    <row r="2648" customFormat="false" ht="15" hidden="false" customHeight="false" outlineLevel="0" collapsed="false"/>
    <row r="2649" customFormat="false" ht="15" hidden="false" customHeight="false" outlineLevel="0" collapsed="false"/>
    <row r="2650" customFormat="false" ht="15" hidden="false" customHeight="false" outlineLevel="0" collapsed="false"/>
    <row r="2651" customFormat="false" ht="15" hidden="false" customHeight="false" outlineLevel="0" collapsed="false"/>
    <row r="2652" customFormat="false" ht="15" hidden="false" customHeight="false" outlineLevel="0" collapsed="false"/>
    <row r="2653" customFormat="false" ht="15" hidden="false" customHeight="false" outlineLevel="0" collapsed="false"/>
    <row r="2654" customFormat="false" ht="15" hidden="false" customHeight="false" outlineLevel="0" collapsed="false"/>
    <row r="2655" customFormat="false" ht="15" hidden="false" customHeight="false" outlineLevel="0" collapsed="false"/>
    <row r="2656" customFormat="false" ht="15" hidden="false" customHeight="false" outlineLevel="0" collapsed="false"/>
    <row r="2657" customFormat="false" ht="15" hidden="false" customHeight="false" outlineLevel="0" collapsed="false"/>
    <row r="2658" customFormat="false" ht="15" hidden="false" customHeight="false" outlineLevel="0" collapsed="false"/>
    <row r="2659" customFormat="false" ht="15" hidden="false" customHeight="false" outlineLevel="0" collapsed="false"/>
    <row r="2660" customFormat="false" ht="15" hidden="false" customHeight="false" outlineLevel="0" collapsed="false"/>
    <row r="2661" customFormat="false" ht="15" hidden="false" customHeight="false" outlineLevel="0" collapsed="false"/>
    <row r="2662" customFormat="false" ht="15" hidden="false" customHeight="false" outlineLevel="0" collapsed="false"/>
    <row r="2663" customFormat="false" ht="15" hidden="false" customHeight="false" outlineLevel="0" collapsed="false"/>
    <row r="2664" customFormat="false" ht="15" hidden="false" customHeight="false" outlineLevel="0" collapsed="false"/>
    <row r="2665" customFormat="false" ht="15" hidden="false" customHeight="false" outlineLevel="0" collapsed="false"/>
    <row r="2666" customFormat="false" ht="15" hidden="false" customHeight="false" outlineLevel="0" collapsed="false"/>
    <row r="2667" customFormat="false" ht="15" hidden="false" customHeight="false" outlineLevel="0" collapsed="false"/>
    <row r="2668" customFormat="false" ht="15" hidden="false" customHeight="false" outlineLevel="0" collapsed="false"/>
    <row r="2669" customFormat="false" ht="15" hidden="false" customHeight="false" outlineLevel="0" collapsed="false"/>
    <row r="2670" customFormat="false" ht="15" hidden="false" customHeight="false" outlineLevel="0" collapsed="false"/>
    <row r="2671" customFormat="false" ht="15" hidden="false" customHeight="false" outlineLevel="0" collapsed="false"/>
    <row r="2672" customFormat="false" ht="15" hidden="false" customHeight="false" outlineLevel="0" collapsed="false"/>
    <row r="2673" customFormat="false" ht="15" hidden="false" customHeight="false" outlineLevel="0" collapsed="false"/>
    <row r="2674" customFormat="false" ht="15" hidden="false" customHeight="false" outlineLevel="0" collapsed="false"/>
    <row r="2675" customFormat="false" ht="15" hidden="false" customHeight="false" outlineLevel="0" collapsed="false"/>
    <row r="2676" customFormat="false" ht="15" hidden="false" customHeight="false" outlineLevel="0" collapsed="false"/>
    <row r="2677" customFormat="false" ht="15" hidden="false" customHeight="false" outlineLevel="0" collapsed="false"/>
    <row r="2678" customFormat="false" ht="15" hidden="false" customHeight="false" outlineLevel="0" collapsed="false"/>
    <row r="2679" customFormat="false" ht="15" hidden="false" customHeight="false" outlineLevel="0" collapsed="false"/>
    <row r="2680" customFormat="false" ht="15" hidden="false" customHeight="false" outlineLevel="0" collapsed="false"/>
    <row r="2681" customFormat="false" ht="15" hidden="false" customHeight="false" outlineLevel="0" collapsed="false"/>
    <row r="2682" customFormat="false" ht="15" hidden="false" customHeight="false" outlineLevel="0" collapsed="false"/>
    <row r="2683" customFormat="false" ht="15" hidden="false" customHeight="false" outlineLevel="0" collapsed="false"/>
    <row r="2684" customFormat="false" ht="15" hidden="false" customHeight="false" outlineLevel="0" collapsed="false"/>
    <row r="2685" customFormat="false" ht="15" hidden="false" customHeight="false" outlineLevel="0" collapsed="false"/>
    <row r="2686" customFormat="false" ht="15" hidden="false" customHeight="false" outlineLevel="0" collapsed="false"/>
    <row r="2687" customFormat="false" ht="15" hidden="false" customHeight="false" outlineLevel="0" collapsed="false"/>
    <row r="2688" customFormat="false" ht="15" hidden="false" customHeight="false" outlineLevel="0" collapsed="false"/>
    <row r="2689" customFormat="false" ht="15" hidden="false" customHeight="false" outlineLevel="0" collapsed="false"/>
    <row r="2690" customFormat="false" ht="15" hidden="false" customHeight="false" outlineLevel="0" collapsed="false"/>
    <row r="2691" customFormat="false" ht="15" hidden="false" customHeight="false" outlineLevel="0" collapsed="false"/>
    <row r="2692" customFormat="false" ht="15" hidden="false" customHeight="false" outlineLevel="0" collapsed="false"/>
    <row r="2693" customFormat="false" ht="15" hidden="false" customHeight="false" outlineLevel="0" collapsed="false"/>
    <row r="2694" customFormat="false" ht="15" hidden="false" customHeight="false" outlineLevel="0" collapsed="false"/>
    <row r="2695" customFormat="false" ht="15" hidden="false" customHeight="false" outlineLevel="0" collapsed="false"/>
    <row r="2696" customFormat="false" ht="15" hidden="false" customHeight="false" outlineLevel="0" collapsed="false"/>
    <row r="2697" customFormat="false" ht="15" hidden="false" customHeight="false" outlineLevel="0" collapsed="false"/>
    <row r="2698" customFormat="false" ht="15" hidden="false" customHeight="false" outlineLevel="0" collapsed="false"/>
    <row r="2699" customFormat="false" ht="15" hidden="false" customHeight="false" outlineLevel="0" collapsed="false"/>
    <row r="2700" customFormat="false" ht="15" hidden="false" customHeight="false" outlineLevel="0" collapsed="false"/>
    <row r="2701" customFormat="false" ht="15" hidden="false" customHeight="false" outlineLevel="0" collapsed="false"/>
    <row r="2702" customFormat="false" ht="15" hidden="false" customHeight="false" outlineLevel="0" collapsed="false"/>
    <row r="2703" customFormat="false" ht="15" hidden="false" customHeight="false" outlineLevel="0" collapsed="false"/>
    <row r="2704" customFormat="false" ht="15" hidden="false" customHeight="false" outlineLevel="0" collapsed="false"/>
    <row r="2705" customFormat="false" ht="15" hidden="false" customHeight="false" outlineLevel="0" collapsed="false"/>
    <row r="2706" customFormat="false" ht="15" hidden="false" customHeight="false" outlineLevel="0" collapsed="false"/>
    <row r="2707" customFormat="false" ht="15" hidden="false" customHeight="false" outlineLevel="0" collapsed="false"/>
    <row r="2708" customFormat="false" ht="15" hidden="false" customHeight="false" outlineLevel="0" collapsed="false"/>
    <row r="2709" customFormat="false" ht="15" hidden="false" customHeight="false" outlineLevel="0" collapsed="false"/>
    <row r="2710" customFormat="false" ht="15" hidden="false" customHeight="false" outlineLevel="0" collapsed="false"/>
    <row r="2711" customFormat="false" ht="15" hidden="false" customHeight="false" outlineLevel="0" collapsed="false"/>
    <row r="2712" customFormat="false" ht="15" hidden="false" customHeight="false" outlineLevel="0" collapsed="false"/>
    <row r="2713" customFormat="false" ht="15" hidden="false" customHeight="false" outlineLevel="0" collapsed="false"/>
    <row r="2714" customFormat="false" ht="15" hidden="false" customHeight="false" outlineLevel="0" collapsed="false"/>
    <row r="2715" customFormat="false" ht="15" hidden="false" customHeight="false" outlineLevel="0" collapsed="false"/>
    <row r="2716" customFormat="false" ht="15" hidden="false" customHeight="false" outlineLevel="0" collapsed="false"/>
    <row r="2717" customFormat="false" ht="15" hidden="false" customHeight="false" outlineLevel="0" collapsed="false"/>
    <row r="2718" customFormat="false" ht="15" hidden="false" customHeight="false" outlineLevel="0" collapsed="false"/>
    <row r="2719" customFormat="false" ht="15" hidden="false" customHeight="false" outlineLevel="0" collapsed="false"/>
    <row r="2720" customFormat="false" ht="15" hidden="false" customHeight="false" outlineLevel="0" collapsed="false"/>
    <row r="2721" customFormat="false" ht="15" hidden="false" customHeight="false" outlineLevel="0" collapsed="false"/>
    <row r="2722" customFormat="false" ht="15" hidden="false" customHeight="false" outlineLevel="0" collapsed="false"/>
    <row r="2723" customFormat="false" ht="15" hidden="false" customHeight="false" outlineLevel="0" collapsed="false"/>
    <row r="2724" customFormat="false" ht="15" hidden="false" customHeight="false" outlineLevel="0" collapsed="false"/>
    <row r="2725" customFormat="false" ht="15" hidden="false" customHeight="false" outlineLevel="0" collapsed="false"/>
    <row r="2726" customFormat="false" ht="15" hidden="false" customHeight="false" outlineLevel="0" collapsed="false"/>
    <row r="2727" customFormat="false" ht="15" hidden="false" customHeight="false" outlineLevel="0" collapsed="false"/>
    <row r="2728" customFormat="false" ht="15" hidden="false" customHeight="false" outlineLevel="0" collapsed="false"/>
    <row r="2729" customFormat="false" ht="15" hidden="false" customHeight="false" outlineLevel="0" collapsed="false"/>
    <row r="2730" customFormat="false" ht="15" hidden="false" customHeight="false" outlineLevel="0" collapsed="false"/>
    <row r="2731" customFormat="false" ht="15" hidden="false" customHeight="false" outlineLevel="0" collapsed="false"/>
    <row r="2732" customFormat="false" ht="15" hidden="false" customHeight="false" outlineLevel="0" collapsed="false"/>
    <row r="2733" customFormat="false" ht="15" hidden="false" customHeight="false" outlineLevel="0" collapsed="false"/>
    <row r="2734" customFormat="false" ht="15" hidden="false" customHeight="false" outlineLevel="0" collapsed="false"/>
    <row r="2735" customFormat="false" ht="15" hidden="false" customHeight="false" outlineLevel="0" collapsed="false"/>
    <row r="2736" customFormat="false" ht="15" hidden="false" customHeight="false" outlineLevel="0" collapsed="false"/>
    <row r="2737" customFormat="false" ht="15" hidden="false" customHeight="false" outlineLevel="0" collapsed="false"/>
    <row r="2738" customFormat="false" ht="15" hidden="false" customHeight="false" outlineLevel="0" collapsed="false"/>
    <row r="2739" customFormat="false" ht="15" hidden="false" customHeight="false" outlineLevel="0" collapsed="false"/>
    <row r="2740" customFormat="false" ht="15" hidden="false" customHeight="false" outlineLevel="0" collapsed="false"/>
    <row r="2741" customFormat="false" ht="15" hidden="false" customHeight="false" outlineLevel="0" collapsed="false"/>
    <row r="2742" customFormat="false" ht="15" hidden="false" customHeight="false" outlineLevel="0" collapsed="false"/>
    <row r="2743" customFormat="false" ht="15" hidden="false" customHeight="false" outlineLevel="0" collapsed="false"/>
    <row r="2744" customFormat="false" ht="15" hidden="false" customHeight="false" outlineLevel="0" collapsed="false"/>
    <row r="2745" customFormat="false" ht="15" hidden="false" customHeight="false" outlineLevel="0" collapsed="false"/>
    <row r="2746" customFormat="false" ht="15" hidden="false" customHeight="false" outlineLevel="0" collapsed="false"/>
    <row r="2747" customFormat="false" ht="15" hidden="false" customHeight="false" outlineLevel="0" collapsed="false"/>
    <row r="2748" customFormat="false" ht="15" hidden="false" customHeight="false" outlineLevel="0" collapsed="false"/>
    <row r="2749" customFormat="false" ht="15" hidden="false" customHeight="false" outlineLevel="0" collapsed="false"/>
    <row r="2750" customFormat="false" ht="15" hidden="false" customHeight="false" outlineLevel="0" collapsed="false"/>
    <row r="2751" customFormat="false" ht="15" hidden="false" customHeight="false" outlineLevel="0" collapsed="false"/>
    <row r="2752" customFormat="false" ht="15" hidden="false" customHeight="false" outlineLevel="0" collapsed="false"/>
    <row r="2753" customFormat="false" ht="15" hidden="false" customHeight="false" outlineLevel="0" collapsed="false"/>
    <row r="2754" customFormat="false" ht="15" hidden="false" customHeight="false" outlineLevel="0" collapsed="false"/>
    <row r="2755" customFormat="false" ht="15" hidden="false" customHeight="false" outlineLevel="0" collapsed="false"/>
    <row r="2756" customFormat="false" ht="15" hidden="false" customHeight="false" outlineLevel="0" collapsed="false"/>
    <row r="2757" customFormat="false" ht="15" hidden="false" customHeight="false" outlineLevel="0" collapsed="false"/>
    <row r="2758" customFormat="false" ht="15" hidden="false" customHeight="false" outlineLevel="0" collapsed="false"/>
    <row r="2759" customFormat="false" ht="15" hidden="false" customHeight="false" outlineLevel="0" collapsed="false"/>
    <row r="2760" customFormat="false" ht="15" hidden="false" customHeight="false" outlineLevel="0" collapsed="false"/>
    <row r="2761" customFormat="false" ht="15" hidden="false" customHeight="false" outlineLevel="0" collapsed="false"/>
    <row r="2762" customFormat="false" ht="15" hidden="false" customHeight="false" outlineLevel="0" collapsed="false"/>
    <row r="2763" customFormat="false" ht="15" hidden="false" customHeight="false" outlineLevel="0" collapsed="false"/>
    <row r="2764" customFormat="false" ht="15" hidden="false" customHeight="false" outlineLevel="0" collapsed="false"/>
    <row r="2765" customFormat="false" ht="15" hidden="false" customHeight="false" outlineLevel="0" collapsed="false"/>
    <row r="2766" customFormat="false" ht="15" hidden="false" customHeight="false" outlineLevel="0" collapsed="false"/>
    <row r="2767" customFormat="false" ht="15" hidden="false" customHeight="false" outlineLevel="0" collapsed="false"/>
    <row r="2768" customFormat="false" ht="15" hidden="false" customHeight="false" outlineLevel="0" collapsed="false"/>
    <row r="2769" customFormat="false" ht="15" hidden="false" customHeight="false" outlineLevel="0" collapsed="false"/>
    <row r="2770" customFormat="false" ht="15" hidden="false" customHeight="false" outlineLevel="0" collapsed="false"/>
    <row r="2771" customFormat="false" ht="15" hidden="false" customHeight="false" outlineLevel="0" collapsed="false"/>
    <row r="2772" customFormat="false" ht="15" hidden="false" customHeight="false" outlineLevel="0" collapsed="false"/>
    <row r="2773" customFormat="false" ht="15" hidden="false" customHeight="false" outlineLevel="0" collapsed="false"/>
    <row r="2774" customFormat="false" ht="15" hidden="false" customHeight="false" outlineLevel="0" collapsed="false"/>
    <row r="2775" customFormat="false" ht="15" hidden="false" customHeight="false" outlineLevel="0" collapsed="false"/>
    <row r="2776" customFormat="false" ht="15" hidden="false" customHeight="false" outlineLevel="0" collapsed="false"/>
    <row r="2777" customFormat="false" ht="15" hidden="false" customHeight="false" outlineLevel="0" collapsed="false"/>
    <row r="2778" customFormat="false" ht="15" hidden="false" customHeight="false" outlineLevel="0" collapsed="false"/>
    <row r="2779" customFormat="false" ht="15" hidden="false" customHeight="false" outlineLevel="0" collapsed="false"/>
    <row r="2780" customFormat="false" ht="15" hidden="false" customHeight="false" outlineLevel="0" collapsed="false"/>
    <row r="2781" customFormat="false" ht="15" hidden="false" customHeight="false" outlineLevel="0" collapsed="false"/>
    <row r="2782" customFormat="false" ht="15" hidden="false" customHeight="false" outlineLevel="0" collapsed="false"/>
    <row r="2783" customFormat="false" ht="15" hidden="false" customHeight="false" outlineLevel="0" collapsed="false"/>
    <row r="2784" customFormat="false" ht="15" hidden="false" customHeight="false" outlineLevel="0" collapsed="false"/>
    <row r="2785" customFormat="false" ht="15" hidden="false" customHeight="false" outlineLevel="0" collapsed="false"/>
    <row r="2786" customFormat="false" ht="15" hidden="false" customHeight="false" outlineLevel="0" collapsed="false"/>
    <row r="2787" customFormat="false" ht="15" hidden="false" customHeight="false" outlineLevel="0" collapsed="false"/>
    <row r="2788" customFormat="false" ht="15" hidden="false" customHeight="false" outlineLevel="0" collapsed="false"/>
    <row r="2789" customFormat="false" ht="15" hidden="false" customHeight="false" outlineLevel="0" collapsed="false"/>
    <row r="2790" customFormat="false" ht="15" hidden="false" customHeight="false" outlineLevel="0" collapsed="false"/>
    <row r="2791" customFormat="false" ht="15" hidden="false" customHeight="false" outlineLevel="0" collapsed="false"/>
    <row r="2792" customFormat="false" ht="15" hidden="false" customHeight="false" outlineLevel="0" collapsed="false"/>
    <row r="2793" customFormat="false" ht="15" hidden="false" customHeight="false" outlineLevel="0" collapsed="false"/>
    <row r="2794" customFormat="false" ht="15" hidden="false" customHeight="false" outlineLevel="0" collapsed="false"/>
    <row r="2795" customFormat="false" ht="15" hidden="false" customHeight="false" outlineLevel="0" collapsed="false"/>
    <row r="2796" customFormat="false" ht="15" hidden="false" customHeight="false" outlineLevel="0" collapsed="false"/>
    <row r="2797" customFormat="false" ht="15" hidden="false" customHeight="false" outlineLevel="0" collapsed="false"/>
    <row r="2798" customFormat="false" ht="15" hidden="false" customHeight="false" outlineLevel="0" collapsed="false"/>
    <row r="2799" customFormat="false" ht="15" hidden="false" customHeight="false" outlineLevel="0" collapsed="false"/>
    <row r="2800" customFormat="false" ht="15" hidden="false" customHeight="false" outlineLevel="0" collapsed="false"/>
    <row r="2801" customFormat="false" ht="15" hidden="false" customHeight="false" outlineLevel="0" collapsed="false"/>
    <row r="2802" customFormat="false" ht="15" hidden="false" customHeight="false" outlineLevel="0" collapsed="false"/>
    <row r="2803" customFormat="false" ht="15" hidden="false" customHeight="false" outlineLevel="0" collapsed="false"/>
    <row r="2804" customFormat="false" ht="15" hidden="false" customHeight="false" outlineLevel="0" collapsed="false"/>
    <row r="2805" customFormat="false" ht="15" hidden="false" customHeight="false" outlineLevel="0" collapsed="false"/>
    <row r="2806" customFormat="false" ht="15" hidden="false" customHeight="false" outlineLevel="0" collapsed="false"/>
    <row r="2807" customFormat="false" ht="15" hidden="false" customHeight="false" outlineLevel="0" collapsed="false"/>
    <row r="2808" customFormat="false" ht="15" hidden="false" customHeight="false" outlineLevel="0" collapsed="false"/>
    <row r="2809" customFormat="false" ht="15" hidden="false" customHeight="false" outlineLevel="0" collapsed="false"/>
    <row r="2810" customFormat="false" ht="15" hidden="false" customHeight="false" outlineLevel="0" collapsed="false"/>
    <row r="2811" customFormat="false" ht="15" hidden="false" customHeight="false" outlineLevel="0" collapsed="false"/>
    <row r="2812" customFormat="false" ht="15" hidden="false" customHeight="false" outlineLevel="0" collapsed="false"/>
    <row r="2813" customFormat="false" ht="15" hidden="false" customHeight="false" outlineLevel="0" collapsed="false"/>
    <row r="2814" customFormat="false" ht="15" hidden="false" customHeight="false" outlineLevel="0" collapsed="false"/>
    <row r="2815" customFormat="false" ht="15" hidden="false" customHeight="false" outlineLevel="0" collapsed="false"/>
    <row r="2816" customFormat="false" ht="15" hidden="false" customHeight="false" outlineLevel="0" collapsed="false"/>
    <row r="2817" customFormat="false" ht="15" hidden="false" customHeight="false" outlineLevel="0" collapsed="false"/>
    <row r="2818" customFormat="false" ht="15" hidden="false" customHeight="false" outlineLevel="0" collapsed="false"/>
    <row r="2819" customFormat="false" ht="15" hidden="false" customHeight="false" outlineLevel="0" collapsed="false"/>
    <row r="2820" customFormat="false" ht="15" hidden="false" customHeight="false" outlineLevel="0" collapsed="false"/>
    <row r="2821" customFormat="false" ht="15" hidden="false" customHeight="false" outlineLevel="0" collapsed="false"/>
    <row r="2822" customFormat="false" ht="15" hidden="false" customHeight="false" outlineLevel="0" collapsed="false"/>
    <row r="2823" customFormat="false" ht="15" hidden="false" customHeight="false" outlineLevel="0" collapsed="false"/>
    <row r="2824" customFormat="false" ht="15" hidden="false" customHeight="false" outlineLevel="0" collapsed="false"/>
    <row r="2825" customFormat="false" ht="15" hidden="false" customHeight="false" outlineLevel="0" collapsed="false"/>
    <row r="2826" customFormat="false" ht="15" hidden="false" customHeight="false" outlineLevel="0" collapsed="false"/>
    <row r="2827" customFormat="false" ht="15" hidden="false" customHeight="false" outlineLevel="0" collapsed="false"/>
    <row r="2828" customFormat="false" ht="15" hidden="false" customHeight="false" outlineLevel="0" collapsed="false"/>
    <row r="2829" customFormat="false" ht="15" hidden="false" customHeight="false" outlineLevel="0" collapsed="false"/>
    <row r="2830" customFormat="false" ht="15" hidden="false" customHeight="false" outlineLevel="0" collapsed="false"/>
    <row r="2831" customFormat="false" ht="15" hidden="false" customHeight="false" outlineLevel="0" collapsed="false"/>
    <row r="2832" customFormat="false" ht="15" hidden="false" customHeight="false" outlineLevel="0" collapsed="false"/>
    <row r="2833" customFormat="false" ht="15" hidden="false" customHeight="false" outlineLevel="0" collapsed="false"/>
    <row r="2834" customFormat="false" ht="15" hidden="false" customHeight="false" outlineLevel="0" collapsed="false"/>
    <row r="2835" customFormat="false" ht="15" hidden="false" customHeight="false" outlineLevel="0" collapsed="false"/>
    <row r="2836" customFormat="false" ht="15" hidden="false" customHeight="false" outlineLevel="0" collapsed="false"/>
    <row r="2837" customFormat="false" ht="15" hidden="false" customHeight="false" outlineLevel="0" collapsed="false"/>
    <row r="2838" customFormat="false" ht="15" hidden="false" customHeight="false" outlineLevel="0" collapsed="false"/>
    <row r="2839" customFormat="false" ht="15" hidden="false" customHeight="false" outlineLevel="0" collapsed="false"/>
    <row r="2840" customFormat="false" ht="15" hidden="false" customHeight="false" outlineLevel="0" collapsed="false"/>
    <row r="2841" customFormat="false" ht="15" hidden="false" customHeight="false" outlineLevel="0" collapsed="false"/>
    <row r="2842" customFormat="false" ht="15" hidden="false" customHeight="false" outlineLevel="0" collapsed="false"/>
    <row r="2843" customFormat="false" ht="15" hidden="false" customHeight="false" outlineLevel="0" collapsed="false"/>
    <row r="2844" customFormat="false" ht="15" hidden="false" customHeight="false" outlineLevel="0" collapsed="false"/>
    <row r="2845" customFormat="false" ht="15" hidden="false" customHeight="false" outlineLevel="0" collapsed="false"/>
    <row r="2846" customFormat="false" ht="15" hidden="false" customHeight="false" outlineLevel="0" collapsed="false"/>
    <row r="2847" customFormat="false" ht="15" hidden="false" customHeight="false" outlineLevel="0" collapsed="false"/>
    <row r="2848" customFormat="false" ht="15" hidden="false" customHeight="false" outlineLevel="0" collapsed="false"/>
    <row r="2849" customFormat="false" ht="15" hidden="false" customHeight="false" outlineLevel="0" collapsed="false"/>
    <row r="2850" customFormat="false" ht="15" hidden="false" customHeight="false" outlineLevel="0" collapsed="false"/>
    <row r="2851" customFormat="false" ht="15" hidden="false" customHeight="false" outlineLevel="0" collapsed="false"/>
    <row r="2852" customFormat="false" ht="15" hidden="false" customHeight="false" outlineLevel="0" collapsed="false"/>
    <row r="2853" customFormat="false" ht="15" hidden="false" customHeight="false" outlineLevel="0" collapsed="false"/>
    <row r="2854" customFormat="false" ht="15" hidden="false" customHeight="false" outlineLevel="0" collapsed="false"/>
    <row r="2855" customFormat="false" ht="15" hidden="false" customHeight="false" outlineLevel="0" collapsed="false"/>
    <row r="2856" customFormat="false" ht="15" hidden="false" customHeight="false" outlineLevel="0" collapsed="false"/>
    <row r="2857" customFormat="false" ht="15" hidden="false" customHeight="false" outlineLevel="0" collapsed="false"/>
    <row r="2858" customFormat="false" ht="15" hidden="false" customHeight="false" outlineLevel="0" collapsed="false"/>
    <row r="2859" customFormat="false" ht="15" hidden="false" customHeight="false" outlineLevel="0" collapsed="false"/>
    <row r="2860" customFormat="false" ht="15" hidden="false" customHeight="false" outlineLevel="0" collapsed="false"/>
    <row r="2861" customFormat="false" ht="15" hidden="false" customHeight="false" outlineLevel="0" collapsed="false"/>
    <row r="2862" customFormat="false" ht="15" hidden="false" customHeight="false" outlineLevel="0" collapsed="false"/>
    <row r="2863" customFormat="false" ht="15" hidden="false" customHeight="false" outlineLevel="0" collapsed="false"/>
    <row r="2864" customFormat="false" ht="15" hidden="false" customHeight="false" outlineLevel="0" collapsed="false"/>
    <row r="2865" customFormat="false" ht="15" hidden="false" customHeight="false" outlineLevel="0" collapsed="false"/>
    <row r="2866" customFormat="false" ht="15" hidden="false" customHeight="false" outlineLevel="0" collapsed="false"/>
    <row r="2867" customFormat="false" ht="15" hidden="false" customHeight="false" outlineLevel="0" collapsed="false"/>
    <row r="2868" customFormat="false" ht="15" hidden="false" customHeight="false" outlineLevel="0" collapsed="false"/>
    <row r="2869" customFormat="false" ht="15" hidden="false" customHeight="false" outlineLevel="0" collapsed="false"/>
    <row r="2870" customFormat="false" ht="15" hidden="false" customHeight="false" outlineLevel="0" collapsed="false"/>
    <row r="2871" customFormat="false" ht="15" hidden="false" customHeight="false" outlineLevel="0" collapsed="false"/>
    <row r="2872" customFormat="false" ht="15" hidden="false" customHeight="false" outlineLevel="0" collapsed="false"/>
    <row r="2873" customFormat="false" ht="15" hidden="false" customHeight="false" outlineLevel="0" collapsed="false"/>
    <row r="2874" customFormat="false" ht="15" hidden="false" customHeight="false" outlineLevel="0" collapsed="false"/>
    <row r="2875" customFormat="false" ht="15" hidden="false" customHeight="false" outlineLevel="0" collapsed="false"/>
    <row r="2876" customFormat="false" ht="15" hidden="false" customHeight="false" outlineLevel="0" collapsed="false"/>
    <row r="2877" customFormat="false" ht="15" hidden="false" customHeight="false" outlineLevel="0" collapsed="false"/>
    <row r="2878" customFormat="false" ht="15" hidden="false" customHeight="false" outlineLevel="0" collapsed="false"/>
    <row r="2879" customFormat="false" ht="15" hidden="false" customHeight="false" outlineLevel="0" collapsed="false"/>
    <row r="2880" customFormat="false" ht="15" hidden="false" customHeight="false" outlineLevel="0" collapsed="false"/>
    <row r="2881" customFormat="false" ht="15" hidden="false" customHeight="false" outlineLevel="0" collapsed="false"/>
    <row r="2882" customFormat="false" ht="15" hidden="false" customHeight="false" outlineLevel="0" collapsed="false"/>
    <row r="2883" customFormat="false" ht="15" hidden="false" customHeight="false" outlineLevel="0" collapsed="false"/>
    <row r="2884" customFormat="false" ht="15" hidden="false" customHeight="false" outlineLevel="0" collapsed="false"/>
    <row r="2885" customFormat="false" ht="15" hidden="false" customHeight="false" outlineLevel="0" collapsed="false"/>
    <row r="2886" customFormat="false" ht="15" hidden="false" customHeight="false" outlineLevel="0" collapsed="false"/>
    <row r="2887" customFormat="false" ht="15" hidden="false" customHeight="false" outlineLevel="0" collapsed="false"/>
    <row r="2888" customFormat="false" ht="15" hidden="false" customHeight="false" outlineLevel="0" collapsed="false"/>
    <row r="2889" customFormat="false" ht="15" hidden="false" customHeight="false" outlineLevel="0" collapsed="false"/>
    <row r="2890" customFormat="false" ht="15" hidden="false" customHeight="false" outlineLevel="0" collapsed="false"/>
    <row r="2891" customFormat="false" ht="15" hidden="false" customHeight="false" outlineLevel="0" collapsed="false"/>
    <row r="2892" customFormat="false" ht="15" hidden="false" customHeight="false" outlineLevel="0" collapsed="false"/>
    <row r="2893" customFormat="false" ht="15" hidden="false" customHeight="false" outlineLevel="0" collapsed="false"/>
    <row r="2894" customFormat="false" ht="15" hidden="false" customHeight="false" outlineLevel="0" collapsed="false"/>
    <row r="2895" customFormat="false" ht="15" hidden="false" customHeight="false" outlineLevel="0" collapsed="false"/>
    <row r="2896" customFormat="false" ht="15" hidden="false" customHeight="false" outlineLevel="0" collapsed="false"/>
    <row r="2897" customFormat="false" ht="15" hidden="false" customHeight="false" outlineLevel="0" collapsed="false"/>
    <row r="2898" customFormat="false" ht="15" hidden="false" customHeight="false" outlineLevel="0" collapsed="false"/>
    <row r="2899" customFormat="false" ht="15" hidden="false" customHeight="false" outlineLevel="0" collapsed="false"/>
    <row r="2900" customFormat="false" ht="15" hidden="false" customHeight="false" outlineLevel="0" collapsed="false"/>
    <row r="2901" customFormat="false" ht="15" hidden="false" customHeight="false" outlineLevel="0" collapsed="false"/>
    <row r="2902" customFormat="false" ht="15" hidden="false" customHeight="false" outlineLevel="0" collapsed="false"/>
    <row r="2903" customFormat="false" ht="15" hidden="false" customHeight="false" outlineLevel="0" collapsed="false"/>
    <row r="2904" customFormat="false" ht="15" hidden="false" customHeight="false" outlineLevel="0" collapsed="false"/>
    <row r="2905" customFormat="false" ht="15" hidden="false" customHeight="false" outlineLevel="0" collapsed="false"/>
    <row r="2906" customFormat="false" ht="15" hidden="false" customHeight="false" outlineLevel="0" collapsed="false"/>
    <row r="2907" customFormat="false" ht="15" hidden="false" customHeight="false" outlineLevel="0" collapsed="false"/>
    <row r="2908" customFormat="false" ht="15" hidden="false" customHeight="false" outlineLevel="0" collapsed="false"/>
    <row r="2909" customFormat="false" ht="15" hidden="false" customHeight="false" outlineLevel="0" collapsed="false"/>
    <row r="2910" customFormat="false" ht="15" hidden="false" customHeight="false" outlineLevel="0" collapsed="false"/>
    <row r="2911" customFormat="false" ht="15" hidden="false" customHeight="false" outlineLevel="0" collapsed="false"/>
    <row r="2912" customFormat="false" ht="15" hidden="false" customHeight="false" outlineLevel="0" collapsed="false"/>
    <row r="2913" customFormat="false" ht="15" hidden="false" customHeight="false" outlineLevel="0" collapsed="false"/>
    <row r="2914" customFormat="false" ht="15" hidden="false" customHeight="false" outlineLevel="0" collapsed="false"/>
    <row r="2915" customFormat="false" ht="15" hidden="false" customHeight="false" outlineLevel="0" collapsed="false"/>
    <row r="2916" customFormat="false" ht="15" hidden="false" customHeight="false" outlineLevel="0" collapsed="false"/>
    <row r="2917" customFormat="false" ht="15" hidden="false" customHeight="false" outlineLevel="0" collapsed="false"/>
    <row r="2918" customFormat="false" ht="15" hidden="false" customHeight="false" outlineLevel="0" collapsed="false"/>
    <row r="2919" customFormat="false" ht="15" hidden="false" customHeight="false" outlineLevel="0" collapsed="false"/>
    <row r="2920" customFormat="false" ht="15" hidden="false" customHeight="false" outlineLevel="0" collapsed="false"/>
    <row r="2921" customFormat="false" ht="15" hidden="false" customHeight="false" outlineLevel="0" collapsed="false"/>
    <row r="2922" customFormat="false" ht="15" hidden="false" customHeight="false" outlineLevel="0" collapsed="false"/>
    <row r="2923" customFormat="false" ht="15" hidden="false" customHeight="false" outlineLevel="0" collapsed="false"/>
    <row r="2924" customFormat="false" ht="15" hidden="false" customHeight="false" outlineLevel="0" collapsed="false"/>
    <row r="2925" customFormat="false" ht="15" hidden="false" customHeight="false" outlineLevel="0" collapsed="false"/>
    <row r="2926" customFormat="false" ht="15" hidden="false" customHeight="false" outlineLevel="0" collapsed="false"/>
    <row r="2927" customFormat="false" ht="15" hidden="false" customHeight="false" outlineLevel="0" collapsed="false"/>
    <row r="2928" customFormat="false" ht="15" hidden="false" customHeight="false" outlineLevel="0" collapsed="false"/>
    <row r="2929" customFormat="false" ht="15" hidden="false" customHeight="false" outlineLevel="0" collapsed="false"/>
    <row r="2930" customFormat="false" ht="15" hidden="false" customHeight="false" outlineLevel="0" collapsed="false"/>
    <row r="2931" customFormat="false" ht="15" hidden="false" customHeight="false" outlineLevel="0" collapsed="false"/>
    <row r="2932" customFormat="false" ht="15" hidden="false" customHeight="false" outlineLevel="0" collapsed="false"/>
    <row r="2933" customFormat="false" ht="15" hidden="false" customHeight="false" outlineLevel="0" collapsed="false"/>
    <row r="2934" customFormat="false" ht="15" hidden="false" customHeight="false" outlineLevel="0" collapsed="false"/>
    <row r="2935" customFormat="false" ht="15" hidden="false" customHeight="false" outlineLevel="0" collapsed="false"/>
    <row r="2936" customFormat="false" ht="15" hidden="false" customHeight="false" outlineLevel="0" collapsed="false"/>
    <row r="2937" customFormat="false" ht="15" hidden="false" customHeight="false" outlineLevel="0" collapsed="false"/>
    <row r="2938" customFormat="false" ht="15" hidden="false" customHeight="false" outlineLevel="0" collapsed="false"/>
    <row r="2939" customFormat="false" ht="15" hidden="false" customHeight="false" outlineLevel="0" collapsed="false"/>
    <row r="2940" customFormat="false" ht="15" hidden="false" customHeight="false" outlineLevel="0" collapsed="false"/>
    <row r="2941" customFormat="false" ht="15" hidden="false" customHeight="false" outlineLevel="0" collapsed="false"/>
    <row r="2942" customFormat="false" ht="15" hidden="false" customHeight="false" outlineLevel="0" collapsed="false"/>
    <row r="2943" customFormat="false" ht="15" hidden="false" customHeight="false" outlineLevel="0" collapsed="false"/>
    <row r="2944" customFormat="false" ht="15" hidden="false" customHeight="false" outlineLevel="0" collapsed="false"/>
    <row r="2945" customFormat="false" ht="15" hidden="false" customHeight="false" outlineLevel="0" collapsed="false"/>
    <row r="2946" customFormat="false" ht="15" hidden="false" customHeight="false" outlineLevel="0" collapsed="false"/>
    <row r="2947" customFormat="false" ht="15" hidden="false" customHeight="false" outlineLevel="0" collapsed="false"/>
    <row r="2948" customFormat="false" ht="15" hidden="false" customHeight="false" outlineLevel="0" collapsed="false"/>
    <row r="2949" customFormat="false" ht="15" hidden="false" customHeight="false" outlineLevel="0" collapsed="false"/>
    <row r="2950" customFormat="false" ht="15" hidden="false" customHeight="false" outlineLevel="0" collapsed="false"/>
    <row r="2951" customFormat="false" ht="15" hidden="false" customHeight="false" outlineLevel="0" collapsed="false"/>
    <row r="2952" customFormat="false" ht="15" hidden="false" customHeight="false" outlineLevel="0" collapsed="false"/>
    <row r="2953" customFormat="false" ht="15" hidden="false" customHeight="false" outlineLevel="0" collapsed="false"/>
    <row r="2954" customFormat="false" ht="15" hidden="false" customHeight="false" outlineLevel="0" collapsed="false"/>
    <row r="2955" customFormat="false" ht="15" hidden="false" customHeight="false" outlineLevel="0" collapsed="false"/>
    <row r="2956" customFormat="false" ht="15" hidden="false" customHeight="false" outlineLevel="0" collapsed="false"/>
    <row r="2957" customFormat="false" ht="15" hidden="false" customHeight="false" outlineLevel="0" collapsed="false"/>
    <row r="2958" customFormat="false" ht="15" hidden="false" customHeight="false" outlineLevel="0" collapsed="false"/>
    <row r="2959" customFormat="false" ht="15" hidden="false" customHeight="false" outlineLevel="0" collapsed="false"/>
    <row r="2960" customFormat="false" ht="15" hidden="false" customHeight="false" outlineLevel="0" collapsed="false"/>
    <row r="2961" customFormat="false" ht="15" hidden="false" customHeight="false" outlineLevel="0" collapsed="false"/>
    <row r="2962" customFormat="false" ht="15" hidden="false" customHeight="false" outlineLevel="0" collapsed="false"/>
    <row r="2963" customFormat="false" ht="15" hidden="false" customHeight="false" outlineLevel="0" collapsed="false"/>
    <row r="2964" customFormat="false" ht="15" hidden="false" customHeight="false" outlineLevel="0" collapsed="false"/>
    <row r="2965" customFormat="false" ht="15" hidden="false" customHeight="false" outlineLevel="0" collapsed="false"/>
    <row r="2966" customFormat="false" ht="15" hidden="false" customHeight="false" outlineLevel="0" collapsed="false"/>
    <row r="2967" customFormat="false" ht="15" hidden="false" customHeight="false" outlineLevel="0" collapsed="false"/>
    <row r="2968" customFormat="false" ht="15" hidden="false" customHeight="false" outlineLevel="0" collapsed="false"/>
    <row r="2969" customFormat="false" ht="15" hidden="false" customHeight="false" outlineLevel="0" collapsed="false"/>
    <row r="2970" customFormat="false" ht="15" hidden="false" customHeight="false" outlineLevel="0" collapsed="false"/>
    <row r="2971" customFormat="false" ht="15" hidden="false" customHeight="false" outlineLevel="0" collapsed="false"/>
    <row r="2972" customFormat="false" ht="15" hidden="false" customHeight="false" outlineLevel="0" collapsed="false"/>
    <row r="2973" customFormat="false" ht="15" hidden="false" customHeight="false" outlineLevel="0" collapsed="false"/>
    <row r="2974" customFormat="false" ht="15" hidden="false" customHeight="false" outlineLevel="0" collapsed="false"/>
    <row r="2975" customFormat="false" ht="15" hidden="false" customHeight="false" outlineLevel="0" collapsed="false"/>
    <row r="2976" customFormat="false" ht="15" hidden="false" customHeight="false" outlineLevel="0" collapsed="false"/>
    <row r="2977" customFormat="false" ht="15" hidden="false" customHeight="false" outlineLevel="0" collapsed="false"/>
    <row r="2978" customFormat="false" ht="15" hidden="false" customHeight="false" outlineLevel="0" collapsed="false"/>
    <row r="2979" customFormat="false" ht="15" hidden="false" customHeight="false" outlineLevel="0" collapsed="false"/>
    <row r="2980" customFormat="false" ht="15" hidden="false" customHeight="false" outlineLevel="0" collapsed="false"/>
    <row r="2981" customFormat="false" ht="15" hidden="false" customHeight="false" outlineLevel="0" collapsed="false"/>
    <row r="2982" customFormat="false" ht="15" hidden="false" customHeight="false" outlineLevel="0" collapsed="false"/>
    <row r="2983" customFormat="false" ht="15" hidden="false" customHeight="false" outlineLevel="0" collapsed="false"/>
    <row r="2984" customFormat="false" ht="15" hidden="false" customHeight="false" outlineLevel="0" collapsed="false"/>
    <row r="2985" customFormat="false" ht="15" hidden="false" customHeight="false" outlineLevel="0" collapsed="false"/>
    <row r="2986" customFormat="false" ht="15" hidden="false" customHeight="false" outlineLevel="0" collapsed="false"/>
    <row r="2987" customFormat="false" ht="15" hidden="false" customHeight="false" outlineLevel="0" collapsed="false"/>
    <row r="2988" customFormat="false" ht="15" hidden="false" customHeight="false" outlineLevel="0" collapsed="false"/>
    <row r="2989" customFormat="false" ht="15" hidden="false" customHeight="false" outlineLevel="0" collapsed="false"/>
    <row r="2990" customFormat="false" ht="15" hidden="false" customHeight="false" outlineLevel="0" collapsed="false"/>
    <row r="2991" customFormat="false" ht="15" hidden="false" customHeight="false" outlineLevel="0" collapsed="false"/>
    <row r="2992" customFormat="false" ht="15" hidden="false" customHeight="false" outlineLevel="0" collapsed="false"/>
    <row r="2993" customFormat="false" ht="15" hidden="false" customHeight="false" outlineLevel="0" collapsed="false"/>
    <row r="2994" customFormat="false" ht="15" hidden="false" customHeight="false" outlineLevel="0" collapsed="false"/>
    <row r="2995" customFormat="false" ht="15" hidden="false" customHeight="false" outlineLevel="0" collapsed="false"/>
    <row r="2996" customFormat="false" ht="15" hidden="false" customHeight="false" outlineLevel="0" collapsed="false"/>
    <row r="2997" customFormat="false" ht="15" hidden="false" customHeight="false" outlineLevel="0" collapsed="false"/>
    <row r="2998" customFormat="false" ht="15" hidden="false" customHeight="false" outlineLevel="0" collapsed="false"/>
    <row r="2999" customFormat="false" ht="15" hidden="false" customHeight="false" outlineLevel="0" collapsed="false"/>
    <row r="3000" customFormat="false" ht="15" hidden="false" customHeight="false" outlineLevel="0" collapsed="false"/>
    <row r="3001" customFormat="false" ht="15" hidden="false" customHeight="false" outlineLevel="0" collapsed="false"/>
    <row r="3002" customFormat="false" ht="15" hidden="false" customHeight="false" outlineLevel="0" collapsed="false"/>
    <row r="3003" customFormat="false" ht="15" hidden="false" customHeight="false" outlineLevel="0" collapsed="false"/>
    <row r="3004" customFormat="false" ht="15" hidden="false" customHeight="false" outlineLevel="0" collapsed="false"/>
    <row r="3005" customFormat="false" ht="15" hidden="false" customHeight="false" outlineLevel="0" collapsed="false"/>
    <row r="3006" customFormat="false" ht="15" hidden="false" customHeight="false" outlineLevel="0" collapsed="false"/>
    <row r="3007" customFormat="false" ht="15" hidden="false" customHeight="false" outlineLevel="0" collapsed="false"/>
    <row r="3008" customFormat="false" ht="15" hidden="false" customHeight="false" outlineLevel="0" collapsed="false"/>
    <row r="3009" customFormat="false" ht="15" hidden="false" customHeight="false" outlineLevel="0" collapsed="false"/>
    <row r="3010" customFormat="false" ht="15" hidden="false" customHeight="false" outlineLevel="0" collapsed="false"/>
    <row r="3011" customFormat="false" ht="15" hidden="false" customHeight="false" outlineLevel="0" collapsed="false"/>
    <row r="3012" customFormat="false" ht="15" hidden="false" customHeight="false" outlineLevel="0" collapsed="false"/>
    <row r="3013" customFormat="false" ht="15" hidden="false" customHeight="false" outlineLevel="0" collapsed="false"/>
    <row r="3014" customFormat="false" ht="15" hidden="false" customHeight="false" outlineLevel="0" collapsed="false"/>
    <row r="3015" customFormat="false" ht="15" hidden="false" customHeight="false" outlineLevel="0" collapsed="false"/>
    <row r="3016" customFormat="false" ht="15" hidden="false" customHeight="false" outlineLevel="0" collapsed="false"/>
    <row r="3017" customFormat="false" ht="15" hidden="false" customHeight="false" outlineLevel="0" collapsed="false"/>
    <row r="3018" customFormat="false" ht="15" hidden="false" customHeight="false" outlineLevel="0" collapsed="false"/>
    <row r="3019" customFormat="false" ht="15" hidden="false" customHeight="false" outlineLevel="0" collapsed="false"/>
    <row r="3020" customFormat="false" ht="15" hidden="false" customHeight="false" outlineLevel="0" collapsed="false"/>
    <row r="3021" customFormat="false" ht="15" hidden="false" customHeight="false" outlineLevel="0" collapsed="false"/>
    <row r="3022" customFormat="false" ht="15" hidden="false" customHeight="false" outlineLevel="0" collapsed="false"/>
    <row r="3023" customFormat="false" ht="15" hidden="false" customHeight="false" outlineLevel="0" collapsed="false"/>
    <row r="3024" customFormat="false" ht="15" hidden="false" customHeight="false" outlineLevel="0" collapsed="false"/>
    <row r="3025" customFormat="false" ht="15" hidden="false" customHeight="false" outlineLevel="0" collapsed="false"/>
    <row r="3026" customFormat="false" ht="15" hidden="false" customHeight="false" outlineLevel="0" collapsed="false"/>
    <row r="3027" customFormat="false" ht="15" hidden="false" customHeight="false" outlineLevel="0" collapsed="false"/>
    <row r="3028" customFormat="false" ht="15" hidden="false" customHeight="false" outlineLevel="0" collapsed="false"/>
    <row r="3029" customFormat="false" ht="15" hidden="false" customHeight="false" outlineLevel="0" collapsed="false"/>
    <row r="3030" customFormat="false" ht="15" hidden="false" customHeight="false" outlineLevel="0" collapsed="false"/>
    <row r="3031" customFormat="false" ht="15" hidden="false" customHeight="false" outlineLevel="0" collapsed="false"/>
    <row r="3032" customFormat="false" ht="15" hidden="false" customHeight="false" outlineLevel="0" collapsed="false"/>
    <row r="3033" customFormat="false" ht="15" hidden="false" customHeight="false" outlineLevel="0" collapsed="false"/>
    <row r="3034" customFormat="false" ht="15" hidden="false" customHeight="false" outlineLevel="0" collapsed="false"/>
    <row r="3035" customFormat="false" ht="15" hidden="false" customHeight="false" outlineLevel="0" collapsed="false"/>
    <row r="3036" customFormat="false" ht="15" hidden="false" customHeight="false" outlineLevel="0" collapsed="false"/>
    <row r="3037" customFormat="false" ht="15" hidden="false" customHeight="false" outlineLevel="0" collapsed="false"/>
    <row r="3038" customFormat="false" ht="15" hidden="false" customHeight="false" outlineLevel="0" collapsed="false"/>
    <row r="3039" customFormat="false" ht="15" hidden="false" customHeight="false" outlineLevel="0" collapsed="false"/>
    <row r="3040" customFormat="false" ht="15" hidden="false" customHeight="false" outlineLevel="0" collapsed="false"/>
    <row r="3041" customFormat="false" ht="15" hidden="false" customHeight="false" outlineLevel="0" collapsed="false"/>
    <row r="3042" customFormat="false" ht="15" hidden="false" customHeight="false" outlineLevel="0" collapsed="false"/>
    <row r="3043" customFormat="false" ht="15" hidden="false" customHeight="false" outlineLevel="0" collapsed="false"/>
    <row r="3044" customFormat="false" ht="15" hidden="false" customHeight="false" outlineLevel="0" collapsed="false"/>
    <row r="3045" customFormat="false" ht="15" hidden="false" customHeight="false" outlineLevel="0" collapsed="false"/>
    <row r="3046" customFormat="false" ht="15" hidden="false" customHeight="false" outlineLevel="0" collapsed="false"/>
    <row r="3047" customFormat="false" ht="15" hidden="false" customHeight="false" outlineLevel="0" collapsed="false"/>
    <row r="3048" customFormat="false" ht="15" hidden="false" customHeight="false" outlineLevel="0" collapsed="false"/>
    <row r="3049" customFormat="false" ht="15" hidden="false" customHeight="false" outlineLevel="0" collapsed="false"/>
    <row r="3050" customFormat="false" ht="15" hidden="false" customHeight="false" outlineLevel="0" collapsed="false"/>
    <row r="3051" customFormat="false" ht="15" hidden="false" customHeight="false" outlineLevel="0" collapsed="false"/>
    <row r="3052" customFormat="false" ht="15" hidden="false" customHeight="false" outlineLevel="0" collapsed="false"/>
    <row r="3053" customFormat="false" ht="15" hidden="false" customHeight="false" outlineLevel="0" collapsed="false"/>
    <row r="3054" customFormat="false" ht="15" hidden="false" customHeight="false" outlineLevel="0" collapsed="false"/>
    <row r="3055" customFormat="false" ht="15" hidden="false" customHeight="false" outlineLevel="0" collapsed="false"/>
    <row r="3056" customFormat="false" ht="15" hidden="false" customHeight="false" outlineLevel="0" collapsed="false"/>
    <row r="3057" customFormat="false" ht="15" hidden="false" customHeight="false" outlineLevel="0" collapsed="false"/>
    <row r="3058" customFormat="false" ht="15" hidden="false" customHeight="false" outlineLevel="0" collapsed="false"/>
    <row r="3059" customFormat="false" ht="15" hidden="false" customHeight="false" outlineLevel="0" collapsed="false"/>
    <row r="3060" customFormat="false" ht="15" hidden="false" customHeight="false" outlineLevel="0" collapsed="false"/>
    <row r="3061" customFormat="false" ht="15" hidden="false" customHeight="false" outlineLevel="0" collapsed="false"/>
    <row r="3062" customFormat="false" ht="15" hidden="false" customHeight="false" outlineLevel="0" collapsed="false"/>
    <row r="3063" customFormat="false" ht="15" hidden="false" customHeight="false" outlineLevel="0" collapsed="false"/>
    <row r="3064" customFormat="false" ht="15" hidden="false" customHeight="false" outlineLevel="0" collapsed="false"/>
    <row r="3065" customFormat="false" ht="15" hidden="false" customHeight="false" outlineLevel="0" collapsed="false"/>
    <row r="3066" customFormat="false" ht="15" hidden="false" customHeight="false" outlineLevel="0" collapsed="false"/>
    <row r="3067" customFormat="false" ht="15" hidden="false" customHeight="false" outlineLevel="0" collapsed="false"/>
    <row r="3068" customFormat="false" ht="15" hidden="false" customHeight="false" outlineLevel="0" collapsed="false"/>
    <row r="3069" customFormat="false" ht="15" hidden="false" customHeight="false" outlineLevel="0" collapsed="false"/>
    <row r="3070" customFormat="false" ht="15" hidden="false" customHeight="false" outlineLevel="0" collapsed="false"/>
    <row r="3071" customFormat="false" ht="15" hidden="false" customHeight="false" outlineLevel="0" collapsed="false"/>
    <row r="3072" customFormat="false" ht="15" hidden="false" customHeight="false" outlineLevel="0" collapsed="false"/>
    <row r="3073" customFormat="false" ht="15" hidden="false" customHeight="false" outlineLevel="0" collapsed="false"/>
    <row r="3074" customFormat="false" ht="15" hidden="false" customHeight="false" outlineLevel="0" collapsed="false"/>
    <row r="3075" customFormat="false" ht="15" hidden="false" customHeight="false" outlineLevel="0" collapsed="false"/>
    <row r="3076" customFormat="false" ht="15" hidden="false" customHeight="false" outlineLevel="0" collapsed="false"/>
    <row r="3077" customFormat="false" ht="15" hidden="false" customHeight="false" outlineLevel="0" collapsed="false"/>
    <row r="3078" customFormat="false" ht="15" hidden="false" customHeight="false" outlineLevel="0" collapsed="false"/>
    <row r="3079" customFormat="false" ht="15" hidden="false" customHeight="false" outlineLevel="0" collapsed="false"/>
    <row r="3080" customFormat="false" ht="15" hidden="false" customHeight="false" outlineLevel="0" collapsed="false"/>
    <row r="3081" customFormat="false" ht="15" hidden="false" customHeight="false" outlineLevel="0" collapsed="false"/>
    <row r="3082" customFormat="false" ht="15" hidden="false" customHeight="false" outlineLevel="0" collapsed="false"/>
    <row r="3083" customFormat="false" ht="15" hidden="false" customHeight="false" outlineLevel="0" collapsed="false"/>
    <row r="3084" customFormat="false" ht="15" hidden="false" customHeight="false" outlineLevel="0" collapsed="false"/>
    <row r="3085" customFormat="false" ht="15" hidden="false" customHeight="false" outlineLevel="0" collapsed="false"/>
    <row r="3086" customFormat="false" ht="15" hidden="false" customHeight="false" outlineLevel="0" collapsed="false"/>
    <row r="3087" customFormat="false" ht="15" hidden="false" customHeight="false" outlineLevel="0" collapsed="false"/>
    <row r="3088" customFormat="false" ht="15" hidden="false" customHeight="false" outlineLevel="0" collapsed="false"/>
    <row r="3089" customFormat="false" ht="15" hidden="false" customHeight="false" outlineLevel="0" collapsed="false"/>
    <row r="3090" customFormat="false" ht="15" hidden="false" customHeight="false" outlineLevel="0" collapsed="false"/>
    <row r="3091" customFormat="false" ht="15" hidden="false" customHeight="false" outlineLevel="0" collapsed="false"/>
    <row r="3092" customFormat="false" ht="15" hidden="false" customHeight="false" outlineLevel="0" collapsed="false"/>
    <row r="3093" customFormat="false" ht="15" hidden="false" customHeight="false" outlineLevel="0" collapsed="false"/>
    <row r="3094" customFormat="false" ht="15" hidden="false" customHeight="false" outlineLevel="0" collapsed="false"/>
    <row r="3095" customFormat="false" ht="15" hidden="false" customHeight="false" outlineLevel="0" collapsed="false"/>
    <row r="3096" customFormat="false" ht="15" hidden="false" customHeight="false" outlineLevel="0" collapsed="false"/>
    <row r="3097" customFormat="false" ht="15" hidden="false" customHeight="false" outlineLevel="0" collapsed="false"/>
    <row r="3098" customFormat="false" ht="15" hidden="false" customHeight="false" outlineLevel="0" collapsed="false"/>
    <row r="3099" customFormat="false" ht="15" hidden="false" customHeight="false" outlineLevel="0" collapsed="false"/>
    <row r="3100" customFormat="false" ht="15" hidden="false" customHeight="false" outlineLevel="0" collapsed="false"/>
    <row r="3101" customFormat="false" ht="15" hidden="false" customHeight="false" outlineLevel="0" collapsed="false"/>
    <row r="3102" customFormat="false" ht="15" hidden="false" customHeight="false" outlineLevel="0" collapsed="false"/>
    <row r="3103" customFormat="false" ht="15" hidden="false" customHeight="false" outlineLevel="0" collapsed="false"/>
    <row r="3104" customFormat="false" ht="15" hidden="false" customHeight="false" outlineLevel="0" collapsed="false"/>
    <row r="3105" customFormat="false" ht="15" hidden="false" customHeight="false" outlineLevel="0" collapsed="false"/>
    <row r="3106" customFormat="false" ht="15" hidden="false" customHeight="false" outlineLevel="0" collapsed="false"/>
    <row r="3107" customFormat="false" ht="15" hidden="false" customHeight="false" outlineLevel="0" collapsed="false"/>
    <row r="3108" customFormat="false" ht="15" hidden="false" customHeight="false" outlineLevel="0" collapsed="false"/>
    <row r="3109" customFormat="false" ht="15" hidden="false" customHeight="false" outlineLevel="0" collapsed="false"/>
    <row r="3110" customFormat="false" ht="15" hidden="false" customHeight="false" outlineLevel="0" collapsed="false"/>
    <row r="3111" customFormat="false" ht="15" hidden="false" customHeight="false" outlineLevel="0" collapsed="false"/>
    <row r="3112" customFormat="false" ht="15" hidden="false" customHeight="false" outlineLevel="0" collapsed="false"/>
    <row r="3113" customFormat="false" ht="15" hidden="false" customHeight="false" outlineLevel="0" collapsed="false"/>
    <row r="3114" customFormat="false" ht="15" hidden="false" customHeight="false" outlineLevel="0" collapsed="false"/>
    <row r="3115" customFormat="false" ht="15" hidden="false" customHeight="false" outlineLevel="0" collapsed="false"/>
    <row r="3116" customFormat="false" ht="15" hidden="false" customHeight="false" outlineLevel="0" collapsed="false"/>
    <row r="3117" customFormat="false" ht="15" hidden="false" customHeight="false" outlineLevel="0" collapsed="false"/>
    <row r="3118" customFormat="false" ht="15" hidden="false" customHeight="false" outlineLevel="0" collapsed="false"/>
    <row r="3119" customFormat="false" ht="15" hidden="false" customHeight="false" outlineLevel="0" collapsed="false"/>
    <row r="3120" customFormat="false" ht="15" hidden="false" customHeight="false" outlineLevel="0" collapsed="false"/>
    <row r="3121" customFormat="false" ht="15" hidden="false" customHeight="false" outlineLevel="0" collapsed="false"/>
    <row r="3122" customFormat="false" ht="15" hidden="false" customHeight="false" outlineLevel="0" collapsed="false"/>
    <row r="3123" customFormat="false" ht="15" hidden="false" customHeight="false" outlineLevel="0" collapsed="false"/>
    <row r="3124" customFormat="false" ht="15" hidden="false" customHeight="false" outlineLevel="0" collapsed="false"/>
    <row r="3125" customFormat="false" ht="15" hidden="false" customHeight="false" outlineLevel="0" collapsed="false"/>
    <row r="3126" customFormat="false" ht="15" hidden="false" customHeight="false" outlineLevel="0" collapsed="false"/>
    <row r="3127" customFormat="false" ht="15" hidden="false" customHeight="false" outlineLevel="0" collapsed="false"/>
    <row r="3128" customFormat="false" ht="15" hidden="false" customHeight="false" outlineLevel="0" collapsed="false"/>
    <row r="3129" customFormat="false" ht="15" hidden="false" customHeight="false" outlineLevel="0" collapsed="false"/>
    <row r="3130" customFormat="false" ht="15" hidden="false" customHeight="false" outlineLevel="0" collapsed="false"/>
    <row r="3131" customFormat="false" ht="15" hidden="false" customHeight="false" outlineLevel="0" collapsed="false"/>
    <row r="3132" customFormat="false" ht="15" hidden="false" customHeight="false" outlineLevel="0" collapsed="false"/>
    <row r="3133" customFormat="false" ht="15" hidden="false" customHeight="false" outlineLevel="0" collapsed="false"/>
    <row r="3134" customFormat="false" ht="15" hidden="false" customHeight="false" outlineLevel="0" collapsed="false"/>
    <row r="3135" customFormat="false" ht="15" hidden="false" customHeight="false" outlineLevel="0" collapsed="false"/>
    <row r="3136" customFormat="false" ht="15" hidden="false" customHeight="false" outlineLevel="0" collapsed="false"/>
    <row r="3137" customFormat="false" ht="15" hidden="false" customHeight="false" outlineLevel="0" collapsed="false"/>
    <row r="3138" customFormat="false" ht="15" hidden="false" customHeight="false" outlineLevel="0" collapsed="false"/>
    <row r="3139" customFormat="false" ht="15" hidden="false" customHeight="false" outlineLevel="0" collapsed="false"/>
    <row r="3140" customFormat="false" ht="15" hidden="false" customHeight="false" outlineLevel="0" collapsed="false"/>
    <row r="3141" customFormat="false" ht="15" hidden="false" customHeight="false" outlineLevel="0" collapsed="false"/>
    <row r="3142" customFormat="false" ht="15" hidden="false" customHeight="false" outlineLevel="0" collapsed="false"/>
    <row r="3143" customFormat="false" ht="15" hidden="false" customHeight="false" outlineLevel="0" collapsed="false"/>
    <row r="3144" customFormat="false" ht="15" hidden="false" customHeight="false" outlineLevel="0" collapsed="false"/>
    <row r="3145" customFormat="false" ht="15" hidden="false" customHeight="false" outlineLevel="0" collapsed="false"/>
    <row r="3146" customFormat="false" ht="15" hidden="false" customHeight="false" outlineLevel="0" collapsed="false"/>
    <row r="3147" customFormat="false" ht="15" hidden="false" customHeight="false" outlineLevel="0" collapsed="false"/>
    <row r="3148" customFormat="false" ht="15" hidden="false" customHeight="false" outlineLevel="0" collapsed="false"/>
    <row r="3149" customFormat="false" ht="15" hidden="false" customHeight="false" outlineLevel="0" collapsed="false"/>
    <row r="3150" customFormat="false" ht="15" hidden="false" customHeight="false" outlineLevel="0" collapsed="false"/>
    <row r="3151" customFormat="false" ht="15" hidden="false" customHeight="false" outlineLevel="0" collapsed="false"/>
    <row r="3152" customFormat="false" ht="15" hidden="false" customHeight="false" outlineLevel="0" collapsed="false"/>
    <row r="3153" customFormat="false" ht="15" hidden="false" customHeight="false" outlineLevel="0" collapsed="false"/>
    <row r="3154" customFormat="false" ht="15" hidden="false" customHeight="false" outlineLevel="0" collapsed="false"/>
    <row r="3155" customFormat="false" ht="15" hidden="false" customHeight="false" outlineLevel="0" collapsed="false"/>
    <row r="3156" customFormat="false" ht="15" hidden="false" customHeight="false" outlineLevel="0" collapsed="false"/>
    <row r="3157" customFormat="false" ht="15" hidden="false" customHeight="false" outlineLevel="0" collapsed="false"/>
    <row r="3158" customFormat="false" ht="15" hidden="false" customHeight="false" outlineLevel="0" collapsed="false"/>
    <row r="3159" customFormat="false" ht="15" hidden="false" customHeight="false" outlineLevel="0" collapsed="false"/>
    <row r="3160" customFormat="false" ht="15" hidden="false" customHeight="false" outlineLevel="0" collapsed="false"/>
    <row r="3161" customFormat="false" ht="15" hidden="false" customHeight="false" outlineLevel="0" collapsed="false"/>
    <row r="3162" customFormat="false" ht="15" hidden="false" customHeight="false" outlineLevel="0" collapsed="false"/>
    <row r="3163" customFormat="false" ht="15" hidden="false" customHeight="false" outlineLevel="0" collapsed="false"/>
    <row r="3164" customFormat="false" ht="15" hidden="false" customHeight="false" outlineLevel="0" collapsed="false"/>
    <row r="3165" customFormat="false" ht="15" hidden="false" customHeight="false" outlineLevel="0" collapsed="false"/>
    <row r="3166" customFormat="false" ht="15" hidden="false" customHeight="false" outlineLevel="0" collapsed="false"/>
    <row r="3167" customFormat="false" ht="15" hidden="false" customHeight="false" outlineLevel="0" collapsed="false"/>
    <row r="3168" customFormat="false" ht="15" hidden="false" customHeight="false" outlineLevel="0" collapsed="false"/>
    <row r="3169" customFormat="false" ht="15" hidden="false" customHeight="false" outlineLevel="0" collapsed="false"/>
    <row r="3170" customFormat="false" ht="15" hidden="false" customHeight="false" outlineLevel="0" collapsed="false"/>
    <row r="3171" customFormat="false" ht="15" hidden="false" customHeight="false" outlineLevel="0" collapsed="false"/>
    <row r="3172" customFormat="false" ht="15" hidden="false" customHeight="false" outlineLevel="0" collapsed="false"/>
    <row r="3173" customFormat="false" ht="15" hidden="false" customHeight="false" outlineLevel="0" collapsed="false"/>
    <row r="3174" customFormat="false" ht="15" hidden="false" customHeight="false" outlineLevel="0" collapsed="false"/>
    <row r="3175" customFormat="false" ht="15" hidden="false" customHeight="false" outlineLevel="0" collapsed="false"/>
    <row r="3176" customFormat="false" ht="15" hidden="false" customHeight="false" outlineLevel="0" collapsed="false"/>
    <row r="3177" customFormat="false" ht="15" hidden="false" customHeight="false" outlineLevel="0" collapsed="false"/>
    <row r="3178" customFormat="false" ht="15" hidden="false" customHeight="false" outlineLevel="0" collapsed="false"/>
    <row r="3179" customFormat="false" ht="15" hidden="false" customHeight="false" outlineLevel="0" collapsed="false"/>
    <row r="3180" customFormat="false" ht="15" hidden="false" customHeight="false" outlineLevel="0" collapsed="false"/>
    <row r="3181" customFormat="false" ht="15" hidden="false" customHeight="false" outlineLevel="0" collapsed="false"/>
    <row r="3182" customFormat="false" ht="15" hidden="false" customHeight="false" outlineLevel="0" collapsed="false"/>
    <row r="3183" customFormat="false" ht="15" hidden="false" customHeight="false" outlineLevel="0" collapsed="false"/>
    <row r="3184" customFormat="false" ht="15" hidden="false" customHeight="false" outlineLevel="0" collapsed="false"/>
    <row r="3185" customFormat="false" ht="15" hidden="false" customHeight="false" outlineLevel="0" collapsed="false"/>
    <row r="3186" customFormat="false" ht="15" hidden="false" customHeight="false" outlineLevel="0" collapsed="false"/>
    <row r="3187" customFormat="false" ht="15" hidden="false" customHeight="false" outlineLevel="0" collapsed="false"/>
    <row r="3188" customFormat="false" ht="15" hidden="false" customHeight="false" outlineLevel="0" collapsed="false"/>
    <row r="3189" customFormat="false" ht="15" hidden="false" customHeight="false" outlineLevel="0" collapsed="false"/>
    <row r="3190" customFormat="false" ht="15" hidden="false" customHeight="false" outlineLevel="0" collapsed="false"/>
    <row r="3191" customFormat="false" ht="15" hidden="false" customHeight="false" outlineLevel="0" collapsed="false"/>
    <row r="3192" customFormat="false" ht="15" hidden="false" customHeight="false" outlineLevel="0" collapsed="false"/>
    <row r="3193" customFormat="false" ht="15" hidden="false" customHeight="false" outlineLevel="0" collapsed="false"/>
    <row r="3194" customFormat="false" ht="15" hidden="false" customHeight="false" outlineLevel="0" collapsed="false"/>
    <row r="3195" customFormat="false" ht="15" hidden="false" customHeight="false" outlineLevel="0" collapsed="false"/>
    <row r="3196" customFormat="false" ht="15" hidden="false" customHeight="false" outlineLevel="0" collapsed="false"/>
    <row r="3197" customFormat="false" ht="15" hidden="false" customHeight="false" outlineLevel="0" collapsed="false"/>
    <row r="3198" customFormat="false" ht="15" hidden="false" customHeight="false" outlineLevel="0" collapsed="false"/>
    <row r="3199" customFormat="false" ht="15" hidden="false" customHeight="false" outlineLevel="0" collapsed="false"/>
    <row r="3200" customFormat="false" ht="15" hidden="false" customHeight="false" outlineLevel="0" collapsed="false"/>
    <row r="3201" customFormat="false" ht="15" hidden="false" customHeight="false" outlineLevel="0" collapsed="false"/>
    <row r="3202" customFormat="false" ht="15" hidden="false" customHeight="false" outlineLevel="0" collapsed="false"/>
    <row r="3203" customFormat="false" ht="15" hidden="false" customHeight="false" outlineLevel="0" collapsed="false"/>
    <row r="3204" customFormat="false" ht="15" hidden="false" customHeight="false" outlineLevel="0" collapsed="false"/>
    <row r="3205" customFormat="false" ht="15" hidden="false" customHeight="false" outlineLevel="0" collapsed="false"/>
    <row r="3206" customFormat="false" ht="15" hidden="false" customHeight="false" outlineLevel="0" collapsed="false"/>
    <row r="3207" customFormat="false" ht="15" hidden="false" customHeight="false" outlineLevel="0" collapsed="false"/>
    <row r="3208" customFormat="false" ht="15" hidden="false" customHeight="false" outlineLevel="0" collapsed="false"/>
    <row r="3209" customFormat="false" ht="15" hidden="false" customHeight="false" outlineLevel="0" collapsed="false"/>
    <row r="3210" customFormat="false" ht="15" hidden="false" customHeight="false" outlineLevel="0" collapsed="false"/>
    <row r="3211" customFormat="false" ht="15" hidden="false" customHeight="false" outlineLevel="0" collapsed="false"/>
    <row r="3212" customFormat="false" ht="15" hidden="false" customHeight="false" outlineLevel="0" collapsed="false"/>
    <row r="3213" customFormat="false" ht="15" hidden="false" customHeight="false" outlineLevel="0" collapsed="false"/>
    <row r="3214" customFormat="false" ht="15" hidden="false" customHeight="false" outlineLevel="0" collapsed="false"/>
    <row r="3215" customFormat="false" ht="15" hidden="false" customHeight="false" outlineLevel="0" collapsed="false"/>
    <row r="3216" customFormat="false" ht="15" hidden="false" customHeight="false" outlineLevel="0" collapsed="false"/>
    <row r="3217" customFormat="false" ht="15" hidden="false" customHeight="false" outlineLevel="0" collapsed="false"/>
    <row r="3218" customFormat="false" ht="15" hidden="false" customHeight="false" outlineLevel="0" collapsed="false"/>
    <row r="3219" customFormat="false" ht="15" hidden="false" customHeight="false" outlineLevel="0" collapsed="false"/>
    <row r="3220" customFormat="false" ht="15" hidden="false" customHeight="false" outlineLevel="0" collapsed="false"/>
    <row r="3221" customFormat="false" ht="15" hidden="false" customHeight="false" outlineLevel="0" collapsed="false"/>
    <row r="3222" customFormat="false" ht="15" hidden="false" customHeight="false" outlineLevel="0" collapsed="false"/>
    <row r="3223" customFormat="false" ht="15" hidden="false" customHeight="false" outlineLevel="0" collapsed="false"/>
    <row r="3224" customFormat="false" ht="15" hidden="false" customHeight="false" outlineLevel="0" collapsed="false"/>
    <row r="3225" customFormat="false" ht="15" hidden="false" customHeight="false" outlineLevel="0" collapsed="false"/>
    <row r="3226" customFormat="false" ht="15" hidden="false" customHeight="false" outlineLevel="0" collapsed="false"/>
    <row r="3227" customFormat="false" ht="15" hidden="false" customHeight="false" outlineLevel="0" collapsed="false"/>
    <row r="3228" customFormat="false" ht="15" hidden="false" customHeight="false" outlineLevel="0" collapsed="false"/>
    <row r="3229" customFormat="false" ht="15" hidden="false" customHeight="false" outlineLevel="0" collapsed="false"/>
    <row r="3230" customFormat="false" ht="15" hidden="false" customHeight="false" outlineLevel="0" collapsed="false"/>
    <row r="3231" customFormat="false" ht="15" hidden="false" customHeight="false" outlineLevel="0" collapsed="false"/>
    <row r="3232" customFormat="false" ht="15" hidden="false" customHeight="false" outlineLevel="0" collapsed="false"/>
    <row r="3233" customFormat="false" ht="15" hidden="false" customHeight="false" outlineLevel="0" collapsed="false"/>
    <row r="3234" customFormat="false" ht="15" hidden="false" customHeight="false" outlineLevel="0" collapsed="false"/>
    <row r="3235" customFormat="false" ht="15" hidden="false" customHeight="false" outlineLevel="0" collapsed="false"/>
    <row r="3236" customFormat="false" ht="15" hidden="false" customHeight="false" outlineLevel="0" collapsed="false"/>
    <row r="3237" customFormat="false" ht="15" hidden="false" customHeight="false" outlineLevel="0" collapsed="false"/>
    <row r="3238" customFormat="false" ht="15" hidden="false" customHeight="false" outlineLevel="0" collapsed="false"/>
    <row r="3239" customFormat="false" ht="15" hidden="false" customHeight="false" outlineLevel="0" collapsed="false"/>
    <row r="3240" customFormat="false" ht="15" hidden="false" customHeight="false" outlineLevel="0" collapsed="false"/>
    <row r="3241" customFormat="false" ht="15" hidden="false" customHeight="false" outlineLevel="0" collapsed="false"/>
    <row r="3242" customFormat="false" ht="15" hidden="false" customHeight="false" outlineLevel="0" collapsed="false"/>
    <row r="3243" customFormat="false" ht="15" hidden="false" customHeight="false" outlineLevel="0" collapsed="false"/>
    <row r="3244" customFormat="false" ht="15" hidden="false" customHeight="false" outlineLevel="0" collapsed="false"/>
    <row r="3245" customFormat="false" ht="15" hidden="false" customHeight="false" outlineLevel="0" collapsed="false"/>
    <row r="3246" customFormat="false" ht="15" hidden="false" customHeight="false" outlineLevel="0" collapsed="false"/>
    <row r="3247" customFormat="false" ht="15" hidden="false" customHeight="false" outlineLevel="0" collapsed="false"/>
    <row r="3248" customFormat="false" ht="15" hidden="false" customHeight="false" outlineLevel="0" collapsed="false"/>
    <row r="3249" customFormat="false" ht="15" hidden="false" customHeight="false" outlineLevel="0" collapsed="false"/>
    <row r="3250" customFormat="false" ht="15" hidden="false" customHeight="false" outlineLevel="0" collapsed="false"/>
    <row r="3251" customFormat="false" ht="15" hidden="false" customHeight="false" outlineLevel="0" collapsed="false"/>
    <row r="3252" customFormat="false" ht="15" hidden="false" customHeight="false" outlineLevel="0" collapsed="false"/>
    <row r="3253" customFormat="false" ht="15" hidden="false" customHeight="false" outlineLevel="0" collapsed="false"/>
    <row r="3254" customFormat="false" ht="15" hidden="false" customHeight="false" outlineLevel="0" collapsed="false"/>
    <row r="3255" customFormat="false" ht="15" hidden="false" customHeight="false" outlineLevel="0" collapsed="false"/>
    <row r="3256" customFormat="false" ht="15" hidden="false" customHeight="false" outlineLevel="0" collapsed="false"/>
    <row r="3257" customFormat="false" ht="15" hidden="false" customHeight="false" outlineLevel="0" collapsed="false"/>
    <row r="3258" customFormat="false" ht="15" hidden="false" customHeight="false" outlineLevel="0" collapsed="false"/>
    <row r="3259" customFormat="false" ht="15" hidden="false" customHeight="false" outlineLevel="0" collapsed="false"/>
    <row r="3260" customFormat="false" ht="15" hidden="false" customHeight="false" outlineLevel="0" collapsed="false"/>
    <row r="3261" customFormat="false" ht="15" hidden="false" customHeight="false" outlineLevel="0" collapsed="false"/>
    <row r="3262" customFormat="false" ht="15" hidden="false" customHeight="false" outlineLevel="0" collapsed="false"/>
    <row r="3263" customFormat="false" ht="15" hidden="false" customHeight="false" outlineLevel="0" collapsed="false"/>
    <row r="3264" customFormat="false" ht="15" hidden="false" customHeight="false" outlineLevel="0" collapsed="false"/>
    <row r="3265" customFormat="false" ht="15" hidden="false" customHeight="false" outlineLevel="0" collapsed="false"/>
    <row r="3266" customFormat="false" ht="15" hidden="false" customHeight="false" outlineLevel="0" collapsed="false"/>
    <row r="3267" customFormat="false" ht="15" hidden="false" customHeight="false" outlineLevel="0" collapsed="false"/>
    <row r="3268" customFormat="false" ht="15" hidden="false" customHeight="false" outlineLevel="0" collapsed="false"/>
    <row r="3269" customFormat="false" ht="15" hidden="false" customHeight="false" outlineLevel="0" collapsed="false"/>
    <row r="3270" customFormat="false" ht="15" hidden="false" customHeight="false" outlineLevel="0" collapsed="false"/>
    <row r="3271" customFormat="false" ht="15" hidden="false" customHeight="false" outlineLevel="0" collapsed="false"/>
    <row r="3272" customFormat="false" ht="15" hidden="false" customHeight="false" outlineLevel="0" collapsed="false"/>
    <row r="3273" customFormat="false" ht="15" hidden="false" customHeight="false" outlineLevel="0" collapsed="false"/>
    <row r="3274" customFormat="false" ht="15" hidden="false" customHeight="false" outlineLevel="0" collapsed="false"/>
    <row r="3275" customFormat="false" ht="15" hidden="false" customHeight="false" outlineLevel="0" collapsed="false"/>
    <row r="3276" customFormat="false" ht="15" hidden="false" customHeight="false" outlineLevel="0" collapsed="false"/>
    <row r="3277" customFormat="false" ht="15" hidden="false" customHeight="false" outlineLevel="0" collapsed="false"/>
    <row r="3278" customFormat="false" ht="15" hidden="false" customHeight="false" outlineLevel="0" collapsed="false"/>
    <row r="3279" customFormat="false" ht="15" hidden="false" customHeight="false" outlineLevel="0" collapsed="false"/>
    <row r="3280" customFormat="false" ht="15" hidden="false" customHeight="false" outlineLevel="0" collapsed="false"/>
    <row r="3281" customFormat="false" ht="15" hidden="false" customHeight="false" outlineLevel="0" collapsed="false"/>
    <row r="3282" customFormat="false" ht="15" hidden="false" customHeight="false" outlineLevel="0" collapsed="false"/>
    <row r="3283" customFormat="false" ht="15" hidden="false" customHeight="false" outlineLevel="0" collapsed="false"/>
    <row r="3284" customFormat="false" ht="15" hidden="false" customHeight="false" outlineLevel="0" collapsed="false"/>
    <row r="3285" customFormat="false" ht="15" hidden="false" customHeight="false" outlineLevel="0" collapsed="false"/>
    <row r="3286" customFormat="false" ht="15" hidden="false" customHeight="false" outlineLevel="0" collapsed="false"/>
    <row r="3287" customFormat="false" ht="15" hidden="false" customHeight="false" outlineLevel="0" collapsed="false"/>
    <row r="3288" customFormat="false" ht="15" hidden="false" customHeight="false" outlineLevel="0" collapsed="false"/>
    <row r="3289" customFormat="false" ht="15" hidden="false" customHeight="false" outlineLevel="0" collapsed="false"/>
    <row r="3290" customFormat="false" ht="15" hidden="false" customHeight="false" outlineLevel="0" collapsed="false"/>
    <row r="3291" customFormat="false" ht="15" hidden="false" customHeight="false" outlineLevel="0" collapsed="false"/>
    <row r="3292" customFormat="false" ht="15" hidden="false" customHeight="false" outlineLevel="0" collapsed="false"/>
    <row r="3293" customFormat="false" ht="15" hidden="false" customHeight="false" outlineLevel="0" collapsed="false"/>
    <row r="3294" customFormat="false" ht="15" hidden="false" customHeight="false" outlineLevel="0" collapsed="false"/>
    <row r="3295" customFormat="false" ht="15" hidden="false" customHeight="false" outlineLevel="0" collapsed="false"/>
    <row r="3296" customFormat="false" ht="15" hidden="false" customHeight="false" outlineLevel="0" collapsed="false"/>
    <row r="3297" customFormat="false" ht="15" hidden="false" customHeight="false" outlineLevel="0" collapsed="false"/>
    <row r="3298" customFormat="false" ht="15" hidden="false" customHeight="false" outlineLevel="0" collapsed="false"/>
    <row r="3299" customFormat="false" ht="15" hidden="false" customHeight="false" outlineLevel="0" collapsed="false"/>
    <row r="3300" customFormat="false" ht="15" hidden="false" customHeight="false" outlineLevel="0" collapsed="false"/>
    <row r="3301" customFormat="false" ht="15" hidden="false" customHeight="false" outlineLevel="0" collapsed="false"/>
    <row r="3302" customFormat="false" ht="15" hidden="false" customHeight="false" outlineLevel="0" collapsed="false"/>
    <row r="3303" customFormat="false" ht="15" hidden="false" customHeight="false" outlineLevel="0" collapsed="false"/>
    <row r="3304" customFormat="false" ht="15" hidden="false" customHeight="false" outlineLevel="0" collapsed="false"/>
    <row r="3305" customFormat="false" ht="15" hidden="false" customHeight="false" outlineLevel="0" collapsed="false"/>
    <row r="3306" customFormat="false" ht="15" hidden="false" customHeight="false" outlineLevel="0" collapsed="false"/>
    <row r="3307" customFormat="false" ht="15" hidden="false" customHeight="false" outlineLevel="0" collapsed="false"/>
    <row r="3308" customFormat="false" ht="15" hidden="false" customHeight="false" outlineLevel="0" collapsed="false"/>
    <row r="3309" customFormat="false" ht="15" hidden="false" customHeight="false" outlineLevel="0" collapsed="false"/>
    <row r="3310" customFormat="false" ht="15" hidden="false" customHeight="false" outlineLevel="0" collapsed="false"/>
    <row r="3311" customFormat="false" ht="15" hidden="false" customHeight="false" outlineLevel="0" collapsed="false"/>
    <row r="3312" customFormat="false" ht="15" hidden="false" customHeight="false" outlineLevel="0" collapsed="false"/>
    <row r="3313" customFormat="false" ht="15" hidden="false" customHeight="false" outlineLevel="0" collapsed="false"/>
    <row r="3314" customFormat="false" ht="15" hidden="false" customHeight="false" outlineLevel="0" collapsed="false"/>
    <row r="3315" customFormat="false" ht="15" hidden="false" customHeight="false" outlineLevel="0" collapsed="false"/>
    <row r="3316" customFormat="false" ht="15" hidden="false" customHeight="false" outlineLevel="0" collapsed="false"/>
    <row r="3317" customFormat="false" ht="15" hidden="false" customHeight="false" outlineLevel="0" collapsed="false"/>
    <row r="3318" customFormat="false" ht="15" hidden="false" customHeight="false" outlineLevel="0" collapsed="false"/>
    <row r="3319" customFormat="false" ht="15" hidden="false" customHeight="false" outlineLevel="0" collapsed="false"/>
    <row r="3320" customFormat="false" ht="15" hidden="false" customHeight="false" outlineLevel="0" collapsed="false"/>
    <row r="3321" customFormat="false" ht="15" hidden="false" customHeight="false" outlineLevel="0" collapsed="false"/>
    <row r="3322" customFormat="false" ht="15" hidden="false" customHeight="false" outlineLevel="0" collapsed="false"/>
    <row r="3323" customFormat="false" ht="15" hidden="false" customHeight="false" outlineLevel="0" collapsed="false"/>
    <row r="3324" customFormat="false" ht="15" hidden="false" customHeight="false" outlineLevel="0" collapsed="false"/>
    <row r="3325" customFormat="false" ht="15" hidden="false" customHeight="false" outlineLevel="0" collapsed="false"/>
    <row r="3326" customFormat="false" ht="15" hidden="false" customHeight="false" outlineLevel="0" collapsed="false"/>
    <row r="3327" customFormat="false" ht="15" hidden="false" customHeight="false" outlineLevel="0" collapsed="false"/>
    <row r="3328" customFormat="false" ht="15" hidden="false" customHeight="false" outlineLevel="0" collapsed="false"/>
    <row r="3329" customFormat="false" ht="15" hidden="false" customHeight="false" outlineLevel="0" collapsed="false"/>
    <row r="3330" customFormat="false" ht="15" hidden="false" customHeight="false" outlineLevel="0" collapsed="false"/>
    <row r="3331" customFormat="false" ht="15" hidden="false" customHeight="false" outlineLevel="0" collapsed="false"/>
    <row r="3332" customFormat="false" ht="15" hidden="false" customHeight="false" outlineLevel="0" collapsed="false"/>
    <row r="3333" customFormat="false" ht="15" hidden="false" customHeight="false" outlineLevel="0" collapsed="false"/>
    <row r="3334" customFormat="false" ht="15" hidden="false" customHeight="false" outlineLevel="0" collapsed="false"/>
    <row r="3335" customFormat="false" ht="15" hidden="false" customHeight="false" outlineLevel="0" collapsed="false"/>
    <row r="3336" customFormat="false" ht="15" hidden="false" customHeight="false" outlineLevel="0" collapsed="false"/>
    <row r="3337" customFormat="false" ht="15" hidden="false" customHeight="false" outlineLevel="0" collapsed="false"/>
    <row r="3338" customFormat="false" ht="15" hidden="false" customHeight="false" outlineLevel="0" collapsed="false"/>
    <row r="3339" customFormat="false" ht="15" hidden="false" customHeight="false" outlineLevel="0" collapsed="false"/>
    <row r="3340" customFormat="false" ht="15" hidden="false" customHeight="false" outlineLevel="0" collapsed="false"/>
    <row r="3341" customFormat="false" ht="15" hidden="false" customHeight="false" outlineLevel="0" collapsed="false"/>
    <row r="3342" customFormat="false" ht="15" hidden="false" customHeight="false" outlineLevel="0" collapsed="false"/>
    <row r="3343" customFormat="false" ht="15" hidden="false" customHeight="false" outlineLevel="0" collapsed="false"/>
    <row r="3344" customFormat="false" ht="15" hidden="false" customHeight="false" outlineLevel="0" collapsed="false"/>
    <row r="3345" customFormat="false" ht="15" hidden="false" customHeight="false" outlineLevel="0" collapsed="false"/>
    <row r="3346" customFormat="false" ht="15" hidden="false" customHeight="false" outlineLevel="0" collapsed="false"/>
    <row r="3347" customFormat="false" ht="15" hidden="false" customHeight="false" outlineLevel="0" collapsed="false"/>
    <row r="3348" customFormat="false" ht="15" hidden="false" customHeight="false" outlineLevel="0" collapsed="false"/>
    <row r="3349" customFormat="false" ht="15" hidden="false" customHeight="false" outlineLevel="0" collapsed="false"/>
    <row r="3350" customFormat="false" ht="15" hidden="false" customHeight="false" outlineLevel="0" collapsed="false"/>
    <row r="3351" customFormat="false" ht="15" hidden="false" customHeight="false" outlineLevel="0" collapsed="false"/>
    <row r="3352" customFormat="false" ht="15" hidden="false" customHeight="false" outlineLevel="0" collapsed="false"/>
    <row r="3353" customFormat="false" ht="15" hidden="false" customHeight="false" outlineLevel="0" collapsed="false"/>
    <row r="3354" customFormat="false" ht="15" hidden="false" customHeight="false" outlineLevel="0" collapsed="false"/>
    <row r="3355" customFormat="false" ht="15" hidden="false" customHeight="false" outlineLevel="0" collapsed="false"/>
    <row r="3356" customFormat="false" ht="15" hidden="false" customHeight="false" outlineLevel="0" collapsed="false"/>
    <row r="3357" customFormat="false" ht="15" hidden="false" customHeight="false" outlineLevel="0" collapsed="false"/>
    <row r="3358" customFormat="false" ht="15" hidden="false" customHeight="false" outlineLevel="0" collapsed="false"/>
    <row r="3359" customFormat="false" ht="15" hidden="false" customHeight="false" outlineLevel="0" collapsed="false"/>
    <row r="3360" customFormat="false" ht="15" hidden="false" customHeight="false" outlineLevel="0" collapsed="false"/>
    <row r="3361" customFormat="false" ht="15" hidden="false" customHeight="false" outlineLevel="0" collapsed="false"/>
    <row r="3362" customFormat="false" ht="15" hidden="false" customHeight="false" outlineLevel="0" collapsed="false"/>
    <row r="3363" customFormat="false" ht="15" hidden="false" customHeight="false" outlineLevel="0" collapsed="false"/>
    <row r="3364" customFormat="false" ht="15" hidden="false" customHeight="false" outlineLevel="0" collapsed="false"/>
    <row r="3365" customFormat="false" ht="15" hidden="false" customHeight="false" outlineLevel="0" collapsed="false"/>
    <row r="3366" customFormat="false" ht="15" hidden="false" customHeight="false" outlineLevel="0" collapsed="false"/>
    <row r="3367" customFormat="false" ht="15" hidden="false" customHeight="false" outlineLevel="0" collapsed="false"/>
    <row r="3368" customFormat="false" ht="15" hidden="false" customHeight="false" outlineLevel="0" collapsed="false"/>
    <row r="3369" customFormat="false" ht="15" hidden="false" customHeight="false" outlineLevel="0" collapsed="false"/>
    <row r="3370" customFormat="false" ht="15" hidden="false" customHeight="false" outlineLevel="0" collapsed="false"/>
    <row r="3371" customFormat="false" ht="15" hidden="false" customHeight="false" outlineLevel="0" collapsed="false"/>
    <row r="3372" customFormat="false" ht="15" hidden="false" customHeight="false" outlineLevel="0" collapsed="false"/>
    <row r="3373" customFormat="false" ht="15" hidden="false" customHeight="false" outlineLevel="0" collapsed="false"/>
    <row r="3374" customFormat="false" ht="15" hidden="false" customHeight="false" outlineLevel="0" collapsed="false"/>
    <row r="3375" customFormat="false" ht="15" hidden="false" customHeight="false" outlineLevel="0" collapsed="false"/>
    <row r="3376" customFormat="false" ht="15" hidden="false" customHeight="false" outlineLevel="0" collapsed="false"/>
    <row r="3377" customFormat="false" ht="15" hidden="false" customHeight="false" outlineLevel="0" collapsed="false"/>
    <row r="3378" customFormat="false" ht="15" hidden="false" customHeight="false" outlineLevel="0" collapsed="false"/>
    <row r="3379" customFormat="false" ht="15" hidden="false" customHeight="false" outlineLevel="0" collapsed="false"/>
    <row r="3380" customFormat="false" ht="15" hidden="false" customHeight="false" outlineLevel="0" collapsed="false"/>
    <row r="3381" customFormat="false" ht="15" hidden="false" customHeight="false" outlineLevel="0" collapsed="false"/>
    <row r="3382" customFormat="false" ht="15" hidden="false" customHeight="false" outlineLevel="0" collapsed="false"/>
    <row r="3383" customFormat="false" ht="15" hidden="false" customHeight="false" outlineLevel="0" collapsed="false"/>
    <row r="3384" customFormat="false" ht="15" hidden="false" customHeight="false" outlineLevel="0" collapsed="false"/>
    <row r="3385" customFormat="false" ht="15" hidden="false" customHeight="false" outlineLevel="0" collapsed="false"/>
    <row r="3386" customFormat="false" ht="15" hidden="false" customHeight="false" outlineLevel="0" collapsed="false"/>
    <row r="3387" customFormat="false" ht="15" hidden="false" customHeight="false" outlineLevel="0" collapsed="false"/>
    <row r="3388" customFormat="false" ht="15" hidden="false" customHeight="false" outlineLevel="0" collapsed="false"/>
    <row r="3389" customFormat="false" ht="15" hidden="false" customHeight="false" outlineLevel="0" collapsed="false"/>
    <row r="3390" customFormat="false" ht="15" hidden="false" customHeight="false" outlineLevel="0" collapsed="false"/>
    <row r="3391" customFormat="false" ht="15" hidden="false" customHeight="false" outlineLevel="0" collapsed="false"/>
    <row r="3392" customFormat="false" ht="15" hidden="false" customHeight="false" outlineLevel="0" collapsed="false"/>
    <row r="3393" customFormat="false" ht="15" hidden="false" customHeight="false" outlineLevel="0" collapsed="false"/>
    <row r="3394" customFormat="false" ht="15" hidden="false" customHeight="false" outlineLevel="0" collapsed="false"/>
    <row r="3395" customFormat="false" ht="15" hidden="false" customHeight="false" outlineLevel="0" collapsed="false"/>
    <row r="3396" customFormat="false" ht="15" hidden="false" customHeight="false" outlineLevel="0" collapsed="false"/>
    <row r="3397" customFormat="false" ht="15" hidden="false" customHeight="false" outlineLevel="0" collapsed="false"/>
    <row r="3398" customFormat="false" ht="15" hidden="false" customHeight="false" outlineLevel="0" collapsed="false"/>
    <row r="3399" customFormat="false" ht="15" hidden="false" customHeight="false" outlineLevel="0" collapsed="false"/>
    <row r="3400" customFormat="false" ht="15" hidden="false" customHeight="false" outlineLevel="0" collapsed="false"/>
    <row r="3401" customFormat="false" ht="15" hidden="false" customHeight="false" outlineLevel="0" collapsed="false"/>
    <row r="3402" customFormat="false" ht="15" hidden="false" customHeight="false" outlineLevel="0" collapsed="false"/>
    <row r="3403" customFormat="false" ht="15" hidden="false" customHeight="false" outlineLevel="0" collapsed="false"/>
    <row r="3404" customFormat="false" ht="15" hidden="false" customHeight="false" outlineLevel="0" collapsed="false"/>
    <row r="3405" customFormat="false" ht="15" hidden="false" customHeight="false" outlineLevel="0" collapsed="false"/>
    <row r="3406" customFormat="false" ht="15" hidden="false" customHeight="false" outlineLevel="0" collapsed="false"/>
    <row r="3407" customFormat="false" ht="15" hidden="false" customHeight="false" outlineLevel="0" collapsed="false"/>
    <row r="3408" customFormat="false" ht="15" hidden="false" customHeight="false" outlineLevel="0" collapsed="false"/>
    <row r="3409" customFormat="false" ht="15" hidden="false" customHeight="false" outlineLevel="0" collapsed="false"/>
    <row r="3410" customFormat="false" ht="15" hidden="false" customHeight="false" outlineLevel="0" collapsed="false"/>
    <row r="3411" customFormat="false" ht="15" hidden="false" customHeight="false" outlineLevel="0" collapsed="false"/>
    <row r="3412" customFormat="false" ht="15" hidden="false" customHeight="false" outlineLevel="0" collapsed="false"/>
    <row r="3413" customFormat="false" ht="15" hidden="false" customHeight="false" outlineLevel="0" collapsed="false"/>
    <row r="3414" customFormat="false" ht="15" hidden="false" customHeight="false" outlineLevel="0" collapsed="false"/>
    <row r="3415" customFormat="false" ht="15" hidden="false" customHeight="false" outlineLevel="0" collapsed="false"/>
    <row r="3416" customFormat="false" ht="15" hidden="false" customHeight="false" outlineLevel="0" collapsed="false"/>
    <row r="3417" customFormat="false" ht="15" hidden="false" customHeight="false" outlineLevel="0" collapsed="false"/>
    <row r="3418" customFormat="false" ht="15" hidden="false" customHeight="false" outlineLevel="0" collapsed="false"/>
    <row r="3419" customFormat="false" ht="15" hidden="false" customHeight="false" outlineLevel="0" collapsed="false"/>
    <row r="3420" customFormat="false" ht="15" hidden="false" customHeight="false" outlineLevel="0" collapsed="false"/>
    <row r="3421" customFormat="false" ht="15" hidden="false" customHeight="false" outlineLevel="0" collapsed="false"/>
    <row r="3422" customFormat="false" ht="15" hidden="false" customHeight="false" outlineLevel="0" collapsed="false"/>
    <row r="3423" customFormat="false" ht="15" hidden="false" customHeight="false" outlineLevel="0" collapsed="false"/>
    <row r="3424" customFormat="false" ht="15" hidden="false" customHeight="false" outlineLevel="0" collapsed="false"/>
    <row r="3425" customFormat="false" ht="15" hidden="false" customHeight="false" outlineLevel="0" collapsed="false"/>
    <row r="3426" customFormat="false" ht="15" hidden="false" customHeight="false" outlineLevel="0" collapsed="false"/>
    <row r="3427" customFormat="false" ht="15" hidden="false" customHeight="false" outlineLevel="0" collapsed="false"/>
    <row r="3428" customFormat="false" ht="15" hidden="false" customHeight="false" outlineLevel="0" collapsed="false"/>
    <row r="3429" customFormat="false" ht="15" hidden="false" customHeight="false" outlineLevel="0" collapsed="false"/>
    <row r="3430" customFormat="false" ht="15" hidden="false" customHeight="false" outlineLevel="0" collapsed="false"/>
    <row r="3431" customFormat="false" ht="15" hidden="false" customHeight="false" outlineLevel="0" collapsed="false"/>
    <row r="3432" customFormat="false" ht="15" hidden="false" customHeight="false" outlineLevel="0" collapsed="false"/>
    <row r="3433" customFormat="false" ht="15" hidden="false" customHeight="false" outlineLevel="0" collapsed="false"/>
    <row r="3434" customFormat="false" ht="15" hidden="false" customHeight="false" outlineLevel="0" collapsed="false"/>
    <row r="3435" customFormat="false" ht="15" hidden="false" customHeight="false" outlineLevel="0" collapsed="false"/>
    <row r="3436" customFormat="false" ht="15" hidden="false" customHeight="false" outlineLevel="0" collapsed="false"/>
    <row r="3437" customFormat="false" ht="15" hidden="false" customHeight="false" outlineLevel="0" collapsed="false"/>
    <row r="3438" customFormat="false" ht="15" hidden="false" customHeight="false" outlineLevel="0" collapsed="false"/>
    <row r="3439" customFormat="false" ht="15" hidden="false" customHeight="false" outlineLevel="0" collapsed="false"/>
    <row r="3440" customFormat="false" ht="15" hidden="false" customHeight="false" outlineLevel="0" collapsed="false"/>
    <row r="3441" customFormat="false" ht="15" hidden="false" customHeight="false" outlineLevel="0" collapsed="false"/>
    <row r="3442" customFormat="false" ht="15" hidden="false" customHeight="false" outlineLevel="0" collapsed="false"/>
    <row r="3443" customFormat="false" ht="15" hidden="false" customHeight="false" outlineLevel="0" collapsed="false"/>
    <row r="3444" customFormat="false" ht="15" hidden="false" customHeight="false" outlineLevel="0" collapsed="false"/>
    <row r="3445" customFormat="false" ht="15" hidden="false" customHeight="false" outlineLevel="0" collapsed="false"/>
    <row r="3446" customFormat="false" ht="15" hidden="false" customHeight="false" outlineLevel="0" collapsed="false"/>
    <row r="3447" customFormat="false" ht="15" hidden="false" customHeight="false" outlineLevel="0" collapsed="false"/>
    <row r="3448" customFormat="false" ht="15" hidden="false" customHeight="false" outlineLevel="0" collapsed="false"/>
    <row r="3449" customFormat="false" ht="15" hidden="false" customHeight="false" outlineLevel="0" collapsed="false"/>
    <row r="3450" customFormat="false" ht="15" hidden="false" customHeight="false" outlineLevel="0" collapsed="false"/>
    <row r="3451" customFormat="false" ht="15" hidden="false" customHeight="false" outlineLevel="0" collapsed="false"/>
    <row r="3452" customFormat="false" ht="15" hidden="false" customHeight="false" outlineLevel="0" collapsed="false"/>
    <row r="3453" customFormat="false" ht="15" hidden="false" customHeight="false" outlineLevel="0" collapsed="false"/>
    <row r="3454" customFormat="false" ht="15" hidden="false" customHeight="false" outlineLevel="0" collapsed="false"/>
    <row r="3455" customFormat="false" ht="15" hidden="false" customHeight="false" outlineLevel="0" collapsed="false"/>
    <row r="3456" customFormat="false" ht="15" hidden="false" customHeight="false" outlineLevel="0" collapsed="false"/>
    <row r="3457" customFormat="false" ht="15" hidden="false" customHeight="false" outlineLevel="0" collapsed="false"/>
    <row r="3458" customFormat="false" ht="15" hidden="false" customHeight="false" outlineLevel="0" collapsed="false"/>
    <row r="3459" customFormat="false" ht="15" hidden="false" customHeight="false" outlineLevel="0" collapsed="false"/>
    <row r="3460" customFormat="false" ht="15" hidden="false" customHeight="false" outlineLevel="0" collapsed="false"/>
    <row r="3461" customFormat="false" ht="15" hidden="false" customHeight="false" outlineLevel="0" collapsed="false"/>
    <row r="3462" customFormat="false" ht="15" hidden="false" customHeight="false" outlineLevel="0" collapsed="false"/>
    <row r="3463" customFormat="false" ht="15" hidden="false" customHeight="false" outlineLevel="0" collapsed="false"/>
    <row r="3464" customFormat="false" ht="15" hidden="false" customHeight="false" outlineLevel="0" collapsed="false"/>
    <row r="3465" customFormat="false" ht="15" hidden="false" customHeight="false" outlineLevel="0" collapsed="false"/>
    <row r="3466" customFormat="false" ht="15" hidden="false" customHeight="false" outlineLevel="0" collapsed="false"/>
    <row r="3467" customFormat="false" ht="15" hidden="false" customHeight="false" outlineLevel="0" collapsed="false"/>
    <row r="3468" customFormat="false" ht="15" hidden="false" customHeight="false" outlineLevel="0" collapsed="false"/>
    <row r="3469" customFormat="false" ht="15" hidden="false" customHeight="false" outlineLevel="0" collapsed="false"/>
    <row r="3470" customFormat="false" ht="15" hidden="false" customHeight="false" outlineLevel="0" collapsed="false"/>
    <row r="3471" customFormat="false" ht="15" hidden="false" customHeight="false" outlineLevel="0" collapsed="false"/>
    <row r="3472" customFormat="false" ht="15" hidden="false" customHeight="false" outlineLevel="0" collapsed="false"/>
    <row r="3473" customFormat="false" ht="15" hidden="false" customHeight="false" outlineLevel="0" collapsed="false"/>
    <row r="3474" customFormat="false" ht="15" hidden="false" customHeight="false" outlineLevel="0" collapsed="false"/>
    <row r="3475" customFormat="false" ht="15" hidden="false" customHeight="false" outlineLevel="0" collapsed="false"/>
    <row r="3476" customFormat="false" ht="15" hidden="false" customHeight="false" outlineLevel="0" collapsed="false"/>
    <row r="3477" customFormat="false" ht="15" hidden="false" customHeight="false" outlineLevel="0" collapsed="false"/>
    <row r="3478" customFormat="false" ht="15" hidden="false" customHeight="false" outlineLevel="0" collapsed="false"/>
    <row r="3479" customFormat="false" ht="15" hidden="false" customHeight="false" outlineLevel="0" collapsed="false"/>
    <row r="3480" customFormat="false" ht="15" hidden="false" customHeight="false" outlineLevel="0" collapsed="false"/>
    <row r="3481" customFormat="false" ht="15" hidden="false" customHeight="false" outlineLevel="0" collapsed="false"/>
    <row r="3482" customFormat="false" ht="15" hidden="false" customHeight="false" outlineLevel="0" collapsed="false"/>
    <row r="3483" customFormat="false" ht="15" hidden="false" customHeight="false" outlineLevel="0" collapsed="false"/>
    <row r="3484" customFormat="false" ht="15" hidden="false" customHeight="false" outlineLevel="0" collapsed="false"/>
    <row r="3485" customFormat="false" ht="15" hidden="false" customHeight="false" outlineLevel="0" collapsed="false"/>
    <row r="3486" customFormat="false" ht="15" hidden="false" customHeight="false" outlineLevel="0" collapsed="false"/>
    <row r="3487" customFormat="false" ht="15" hidden="false" customHeight="false" outlineLevel="0" collapsed="false"/>
    <row r="3488" customFormat="false" ht="15" hidden="false" customHeight="false" outlineLevel="0" collapsed="false"/>
    <row r="3489" customFormat="false" ht="15" hidden="false" customHeight="false" outlineLevel="0" collapsed="false"/>
    <row r="3490" customFormat="false" ht="15" hidden="false" customHeight="false" outlineLevel="0" collapsed="false"/>
    <row r="3491" customFormat="false" ht="15" hidden="false" customHeight="false" outlineLevel="0" collapsed="false"/>
    <row r="3492" customFormat="false" ht="15" hidden="false" customHeight="false" outlineLevel="0" collapsed="false"/>
    <row r="3493" customFormat="false" ht="15" hidden="false" customHeight="false" outlineLevel="0" collapsed="false"/>
    <row r="3494" customFormat="false" ht="15" hidden="false" customHeight="false" outlineLevel="0" collapsed="false"/>
    <row r="3495" customFormat="false" ht="15" hidden="false" customHeight="false" outlineLevel="0" collapsed="false"/>
    <row r="3496" customFormat="false" ht="15" hidden="false" customHeight="false" outlineLevel="0" collapsed="false"/>
    <row r="3497" customFormat="false" ht="15" hidden="false" customHeight="false" outlineLevel="0" collapsed="false"/>
    <row r="3498" customFormat="false" ht="15" hidden="false" customHeight="false" outlineLevel="0" collapsed="false"/>
    <row r="3499" customFormat="false" ht="15" hidden="false" customHeight="false" outlineLevel="0" collapsed="false"/>
    <row r="3500" customFormat="false" ht="15" hidden="false" customHeight="false" outlineLevel="0" collapsed="false"/>
    <row r="3501" customFormat="false" ht="15" hidden="false" customHeight="false" outlineLevel="0" collapsed="false"/>
    <row r="3502" customFormat="false" ht="15" hidden="false" customHeight="false" outlineLevel="0" collapsed="false"/>
    <row r="3503" customFormat="false" ht="15" hidden="false" customHeight="false" outlineLevel="0" collapsed="false"/>
    <row r="3504" customFormat="false" ht="15" hidden="false" customHeight="false" outlineLevel="0" collapsed="false"/>
    <row r="3505" customFormat="false" ht="15" hidden="false" customHeight="false" outlineLevel="0" collapsed="false"/>
    <row r="3506" customFormat="false" ht="15" hidden="false" customHeight="false" outlineLevel="0" collapsed="false"/>
    <row r="3507" customFormat="false" ht="15" hidden="false" customHeight="false" outlineLevel="0" collapsed="false"/>
    <row r="3508" customFormat="false" ht="15" hidden="false" customHeight="false" outlineLevel="0" collapsed="false"/>
    <row r="3509" customFormat="false" ht="15" hidden="false" customHeight="false" outlineLevel="0" collapsed="false"/>
    <row r="3510" customFormat="false" ht="15" hidden="false" customHeight="false" outlineLevel="0" collapsed="false"/>
    <row r="3511" customFormat="false" ht="15" hidden="false" customHeight="false" outlineLevel="0" collapsed="false"/>
    <row r="3512" customFormat="false" ht="15" hidden="false" customHeight="false" outlineLevel="0" collapsed="false"/>
    <row r="3513" customFormat="false" ht="15" hidden="false" customHeight="false" outlineLevel="0" collapsed="false"/>
    <row r="3514" customFormat="false" ht="15" hidden="false" customHeight="false" outlineLevel="0" collapsed="false"/>
    <row r="3515" customFormat="false" ht="15" hidden="false" customHeight="false" outlineLevel="0" collapsed="false"/>
    <row r="3516" customFormat="false" ht="15" hidden="false" customHeight="false" outlineLevel="0" collapsed="false"/>
    <row r="3517" customFormat="false" ht="15" hidden="false" customHeight="false" outlineLevel="0" collapsed="false"/>
    <row r="3518" customFormat="false" ht="15" hidden="false" customHeight="false" outlineLevel="0" collapsed="false"/>
    <row r="3519" customFormat="false" ht="15" hidden="false" customHeight="false" outlineLevel="0" collapsed="false"/>
    <row r="3520" customFormat="false" ht="15" hidden="false" customHeight="false" outlineLevel="0" collapsed="false"/>
    <row r="3521" customFormat="false" ht="15" hidden="false" customHeight="false" outlineLevel="0" collapsed="false"/>
    <row r="3522" customFormat="false" ht="15" hidden="false" customHeight="false" outlineLevel="0" collapsed="false"/>
    <row r="3523" customFormat="false" ht="15" hidden="false" customHeight="false" outlineLevel="0" collapsed="false"/>
    <row r="3524" customFormat="false" ht="15" hidden="false" customHeight="false" outlineLevel="0" collapsed="false"/>
    <row r="3525" customFormat="false" ht="15" hidden="false" customHeight="false" outlineLevel="0" collapsed="false"/>
    <row r="3526" customFormat="false" ht="15" hidden="false" customHeight="false" outlineLevel="0" collapsed="false"/>
    <row r="3527" customFormat="false" ht="15" hidden="false" customHeight="false" outlineLevel="0" collapsed="false"/>
    <row r="3528" customFormat="false" ht="15" hidden="false" customHeight="false" outlineLevel="0" collapsed="false"/>
    <row r="3529" customFormat="false" ht="15" hidden="false" customHeight="false" outlineLevel="0" collapsed="false"/>
    <row r="3530" customFormat="false" ht="15" hidden="false" customHeight="false" outlineLevel="0" collapsed="false"/>
    <row r="3531" customFormat="false" ht="15" hidden="false" customHeight="false" outlineLevel="0" collapsed="false"/>
    <row r="3532" customFormat="false" ht="15" hidden="false" customHeight="false" outlineLevel="0" collapsed="false"/>
    <row r="3533" customFormat="false" ht="15" hidden="false" customHeight="false" outlineLevel="0" collapsed="false"/>
    <row r="3534" customFormat="false" ht="15" hidden="false" customHeight="false" outlineLevel="0" collapsed="false"/>
    <row r="3535" customFormat="false" ht="15" hidden="false" customHeight="false" outlineLevel="0" collapsed="false"/>
    <row r="3536" customFormat="false" ht="15" hidden="false" customHeight="false" outlineLevel="0" collapsed="false"/>
    <row r="3537" customFormat="false" ht="15" hidden="false" customHeight="false" outlineLevel="0" collapsed="false"/>
    <row r="3538" customFormat="false" ht="15" hidden="false" customHeight="false" outlineLevel="0" collapsed="false"/>
    <row r="3539" customFormat="false" ht="15" hidden="false" customHeight="false" outlineLevel="0" collapsed="false"/>
    <row r="3540" customFormat="false" ht="15" hidden="false" customHeight="false" outlineLevel="0" collapsed="false"/>
    <row r="3541" customFormat="false" ht="15" hidden="false" customHeight="false" outlineLevel="0" collapsed="false"/>
    <row r="3542" customFormat="false" ht="15" hidden="false" customHeight="false" outlineLevel="0" collapsed="false"/>
    <row r="3543" customFormat="false" ht="15" hidden="false" customHeight="false" outlineLevel="0" collapsed="false"/>
    <row r="3544" customFormat="false" ht="15" hidden="false" customHeight="false" outlineLevel="0" collapsed="false"/>
    <row r="3545" customFormat="false" ht="15" hidden="false" customHeight="false" outlineLevel="0" collapsed="false"/>
    <row r="3546" customFormat="false" ht="15" hidden="false" customHeight="false" outlineLevel="0" collapsed="false"/>
    <row r="3547" customFormat="false" ht="15" hidden="false" customHeight="false" outlineLevel="0" collapsed="false"/>
    <row r="3548" customFormat="false" ht="15" hidden="false" customHeight="false" outlineLevel="0" collapsed="false"/>
    <row r="3549" customFormat="false" ht="15" hidden="false" customHeight="false" outlineLevel="0" collapsed="false"/>
    <row r="3550" customFormat="false" ht="15" hidden="false" customHeight="false" outlineLevel="0" collapsed="false"/>
    <row r="3551" customFormat="false" ht="15" hidden="false" customHeight="false" outlineLevel="0" collapsed="false"/>
    <row r="3552" customFormat="false" ht="15" hidden="false" customHeight="false" outlineLevel="0" collapsed="false"/>
    <row r="3553" customFormat="false" ht="15" hidden="false" customHeight="false" outlineLevel="0" collapsed="false"/>
    <row r="3554" customFormat="false" ht="15" hidden="false" customHeight="false" outlineLevel="0" collapsed="false"/>
    <row r="3555" customFormat="false" ht="15" hidden="false" customHeight="false" outlineLevel="0" collapsed="false"/>
    <row r="3556" customFormat="false" ht="15" hidden="false" customHeight="false" outlineLevel="0" collapsed="false"/>
    <row r="3557" customFormat="false" ht="15" hidden="false" customHeight="false" outlineLevel="0" collapsed="false"/>
    <row r="3558" customFormat="false" ht="15" hidden="false" customHeight="false" outlineLevel="0" collapsed="false"/>
    <row r="3559" customFormat="false" ht="15" hidden="false" customHeight="false" outlineLevel="0" collapsed="false"/>
    <row r="3560" customFormat="false" ht="15" hidden="false" customHeight="false" outlineLevel="0" collapsed="false"/>
    <row r="3561" customFormat="false" ht="15" hidden="false" customHeight="false" outlineLevel="0" collapsed="false"/>
    <row r="3562" customFormat="false" ht="15" hidden="false" customHeight="false" outlineLevel="0" collapsed="false"/>
    <row r="3563" customFormat="false" ht="15" hidden="false" customHeight="false" outlineLevel="0" collapsed="false"/>
    <row r="3564" customFormat="false" ht="15" hidden="false" customHeight="false" outlineLevel="0" collapsed="false"/>
    <row r="3565" customFormat="false" ht="15" hidden="false" customHeight="false" outlineLevel="0" collapsed="false"/>
    <row r="3566" customFormat="false" ht="15" hidden="false" customHeight="false" outlineLevel="0" collapsed="false"/>
    <row r="3567" customFormat="false" ht="15" hidden="false" customHeight="false" outlineLevel="0" collapsed="false"/>
    <row r="3568" customFormat="false" ht="15" hidden="false" customHeight="false" outlineLevel="0" collapsed="false"/>
    <row r="3569" customFormat="false" ht="15" hidden="false" customHeight="false" outlineLevel="0" collapsed="false"/>
    <row r="3570" customFormat="false" ht="15" hidden="false" customHeight="false" outlineLevel="0" collapsed="false"/>
    <row r="3571" customFormat="false" ht="15" hidden="false" customHeight="false" outlineLevel="0" collapsed="false"/>
    <row r="3572" customFormat="false" ht="15" hidden="false" customHeight="false" outlineLevel="0" collapsed="false"/>
    <row r="3573" customFormat="false" ht="15" hidden="false" customHeight="false" outlineLevel="0" collapsed="false"/>
    <row r="3574" customFormat="false" ht="15" hidden="false" customHeight="false" outlineLevel="0" collapsed="false"/>
    <row r="3575" customFormat="false" ht="15" hidden="false" customHeight="false" outlineLevel="0" collapsed="false"/>
    <row r="3576" customFormat="false" ht="15" hidden="false" customHeight="false" outlineLevel="0" collapsed="false"/>
    <row r="3577" customFormat="false" ht="15" hidden="false" customHeight="false" outlineLevel="0" collapsed="false"/>
    <row r="3578" customFormat="false" ht="15" hidden="false" customHeight="false" outlineLevel="0" collapsed="false"/>
    <row r="3579" customFormat="false" ht="15" hidden="false" customHeight="false" outlineLevel="0" collapsed="false"/>
    <row r="3580" customFormat="false" ht="15" hidden="false" customHeight="false" outlineLevel="0" collapsed="false"/>
    <row r="3581" customFormat="false" ht="15" hidden="false" customHeight="false" outlineLevel="0" collapsed="false"/>
    <row r="3582" customFormat="false" ht="15" hidden="false" customHeight="false" outlineLevel="0" collapsed="false"/>
    <row r="3583" customFormat="false" ht="15" hidden="false" customHeight="false" outlineLevel="0" collapsed="false"/>
    <row r="3584" customFormat="false" ht="15" hidden="false" customHeight="false" outlineLevel="0" collapsed="false"/>
    <row r="3585" customFormat="false" ht="15" hidden="false" customHeight="false" outlineLevel="0" collapsed="false"/>
    <row r="3586" customFormat="false" ht="15" hidden="false" customHeight="false" outlineLevel="0" collapsed="false"/>
    <row r="3587" customFormat="false" ht="15" hidden="false" customHeight="false" outlineLevel="0" collapsed="false"/>
    <row r="3588" customFormat="false" ht="15" hidden="false" customHeight="false" outlineLevel="0" collapsed="false"/>
    <row r="3589" customFormat="false" ht="15" hidden="false" customHeight="false" outlineLevel="0" collapsed="false"/>
    <row r="3590" customFormat="false" ht="15" hidden="false" customHeight="false" outlineLevel="0" collapsed="false"/>
    <row r="3591" customFormat="false" ht="15" hidden="false" customHeight="false" outlineLevel="0" collapsed="false"/>
    <row r="3592" customFormat="false" ht="15" hidden="false" customHeight="false" outlineLevel="0" collapsed="false"/>
    <row r="3593" customFormat="false" ht="15" hidden="false" customHeight="false" outlineLevel="0" collapsed="false"/>
    <row r="3594" customFormat="false" ht="15" hidden="false" customHeight="false" outlineLevel="0" collapsed="false"/>
    <row r="3595" customFormat="false" ht="15" hidden="false" customHeight="false" outlineLevel="0" collapsed="false"/>
    <row r="3596" customFormat="false" ht="15" hidden="false" customHeight="false" outlineLevel="0" collapsed="false"/>
    <row r="3597" customFormat="false" ht="15" hidden="false" customHeight="false" outlineLevel="0" collapsed="false"/>
    <row r="3598" customFormat="false" ht="15" hidden="false" customHeight="false" outlineLevel="0" collapsed="false"/>
    <row r="3599" customFormat="false" ht="15" hidden="false" customHeight="false" outlineLevel="0" collapsed="false"/>
    <row r="3600" customFormat="false" ht="15" hidden="false" customHeight="false" outlineLevel="0" collapsed="false"/>
    <row r="3601" customFormat="false" ht="15" hidden="false" customHeight="false" outlineLevel="0" collapsed="false"/>
    <row r="3602" customFormat="false" ht="15" hidden="false" customHeight="false" outlineLevel="0" collapsed="false"/>
    <row r="3603" customFormat="false" ht="15" hidden="false" customHeight="false" outlineLevel="0" collapsed="false"/>
    <row r="3604" customFormat="false" ht="15" hidden="false" customHeight="false" outlineLevel="0" collapsed="false"/>
    <row r="3605" customFormat="false" ht="15" hidden="false" customHeight="false" outlineLevel="0" collapsed="false"/>
    <row r="3606" customFormat="false" ht="15" hidden="false" customHeight="false" outlineLevel="0" collapsed="false"/>
    <row r="3607" customFormat="false" ht="15" hidden="false" customHeight="false" outlineLevel="0" collapsed="false"/>
    <row r="3608" customFormat="false" ht="15" hidden="false" customHeight="false" outlineLevel="0" collapsed="false"/>
    <row r="3609" customFormat="false" ht="15" hidden="false" customHeight="false" outlineLevel="0" collapsed="false"/>
    <row r="3610" customFormat="false" ht="15" hidden="false" customHeight="false" outlineLevel="0" collapsed="false"/>
    <row r="3611" customFormat="false" ht="15" hidden="false" customHeight="false" outlineLevel="0" collapsed="false"/>
    <row r="3612" customFormat="false" ht="15" hidden="false" customHeight="false" outlineLevel="0" collapsed="false"/>
    <row r="3613" customFormat="false" ht="15" hidden="false" customHeight="false" outlineLevel="0" collapsed="false"/>
    <row r="3614" customFormat="false" ht="15" hidden="false" customHeight="false" outlineLevel="0" collapsed="false"/>
    <row r="3615" customFormat="false" ht="15" hidden="false" customHeight="false" outlineLevel="0" collapsed="false"/>
    <row r="3616" customFormat="false" ht="15" hidden="false" customHeight="false" outlineLevel="0" collapsed="false"/>
    <row r="3617" customFormat="false" ht="15" hidden="false" customHeight="false" outlineLevel="0" collapsed="false"/>
    <row r="3618" customFormat="false" ht="15" hidden="false" customHeight="false" outlineLevel="0" collapsed="false"/>
    <row r="3619" customFormat="false" ht="15" hidden="false" customHeight="false" outlineLevel="0" collapsed="false"/>
    <row r="3620" customFormat="false" ht="15" hidden="false" customHeight="false" outlineLevel="0" collapsed="false"/>
    <row r="3621" customFormat="false" ht="15" hidden="false" customHeight="false" outlineLevel="0" collapsed="false"/>
    <row r="3622" customFormat="false" ht="15" hidden="false" customHeight="false" outlineLevel="0" collapsed="false"/>
    <row r="3623" customFormat="false" ht="15" hidden="false" customHeight="false" outlineLevel="0" collapsed="false"/>
    <row r="3624" customFormat="false" ht="15" hidden="false" customHeight="false" outlineLevel="0" collapsed="false"/>
    <row r="3625" customFormat="false" ht="15" hidden="false" customHeight="false" outlineLevel="0" collapsed="false"/>
    <row r="3626" customFormat="false" ht="15" hidden="false" customHeight="false" outlineLevel="0" collapsed="false"/>
    <row r="3627" customFormat="false" ht="15" hidden="false" customHeight="false" outlineLevel="0" collapsed="false"/>
    <row r="3628" customFormat="false" ht="15" hidden="false" customHeight="false" outlineLevel="0" collapsed="false"/>
    <row r="3629" customFormat="false" ht="15" hidden="false" customHeight="false" outlineLevel="0" collapsed="false"/>
    <row r="3630" customFormat="false" ht="15" hidden="false" customHeight="false" outlineLevel="0" collapsed="false"/>
    <row r="3631" customFormat="false" ht="15" hidden="false" customHeight="false" outlineLevel="0" collapsed="false"/>
    <row r="3632" customFormat="false" ht="15" hidden="false" customHeight="false" outlineLevel="0" collapsed="false"/>
    <row r="3633" customFormat="false" ht="15" hidden="false" customHeight="false" outlineLevel="0" collapsed="false"/>
    <row r="3634" customFormat="false" ht="15" hidden="false" customHeight="false" outlineLevel="0" collapsed="false"/>
    <row r="3635" customFormat="false" ht="15" hidden="false" customHeight="false" outlineLevel="0" collapsed="false"/>
    <row r="3636" customFormat="false" ht="15" hidden="false" customHeight="false" outlineLevel="0" collapsed="false"/>
    <row r="3637" customFormat="false" ht="15" hidden="false" customHeight="false" outlineLevel="0" collapsed="false"/>
    <row r="3638" customFormat="false" ht="15" hidden="false" customHeight="false" outlineLevel="0" collapsed="false"/>
    <row r="3639" customFormat="false" ht="15" hidden="false" customHeight="false" outlineLevel="0" collapsed="false"/>
    <row r="3640" customFormat="false" ht="15" hidden="false" customHeight="false" outlineLevel="0" collapsed="false"/>
    <row r="3641" customFormat="false" ht="15" hidden="false" customHeight="false" outlineLevel="0" collapsed="false"/>
    <row r="3642" customFormat="false" ht="15" hidden="false" customHeight="false" outlineLevel="0" collapsed="false"/>
    <row r="3643" customFormat="false" ht="15" hidden="false" customHeight="false" outlineLevel="0" collapsed="false"/>
    <row r="3644" customFormat="false" ht="15" hidden="false" customHeight="false" outlineLevel="0" collapsed="false"/>
    <row r="3645" customFormat="false" ht="15" hidden="false" customHeight="false" outlineLevel="0" collapsed="false"/>
    <row r="3646" customFormat="false" ht="15" hidden="false" customHeight="false" outlineLevel="0" collapsed="false"/>
    <row r="3647" customFormat="false" ht="15" hidden="false" customHeight="false" outlineLevel="0" collapsed="false"/>
    <row r="3648" customFormat="false" ht="15" hidden="false" customHeight="false" outlineLevel="0" collapsed="false"/>
    <row r="3649" customFormat="false" ht="15" hidden="false" customHeight="false" outlineLevel="0" collapsed="false"/>
    <row r="3650" customFormat="false" ht="15" hidden="false" customHeight="false" outlineLevel="0" collapsed="false"/>
    <row r="3651" customFormat="false" ht="15" hidden="false" customHeight="false" outlineLevel="0" collapsed="false"/>
    <row r="3652" customFormat="false" ht="15" hidden="false" customHeight="false" outlineLevel="0" collapsed="false"/>
    <row r="3653" customFormat="false" ht="15" hidden="false" customHeight="false" outlineLevel="0" collapsed="false"/>
    <row r="3654" customFormat="false" ht="15" hidden="false" customHeight="false" outlineLevel="0" collapsed="false"/>
    <row r="3655" customFormat="false" ht="15" hidden="false" customHeight="false" outlineLevel="0" collapsed="false"/>
    <row r="3656" customFormat="false" ht="15" hidden="false" customHeight="false" outlineLevel="0" collapsed="false"/>
    <row r="3657" customFormat="false" ht="15" hidden="false" customHeight="false" outlineLevel="0" collapsed="false"/>
    <row r="3658" customFormat="false" ht="15" hidden="false" customHeight="false" outlineLevel="0" collapsed="false"/>
    <row r="3659" customFormat="false" ht="15" hidden="false" customHeight="false" outlineLevel="0" collapsed="false"/>
    <row r="3660" customFormat="false" ht="15" hidden="false" customHeight="false" outlineLevel="0" collapsed="false"/>
    <row r="3661" customFormat="false" ht="15" hidden="false" customHeight="false" outlineLevel="0" collapsed="false"/>
    <row r="3662" customFormat="false" ht="15" hidden="false" customHeight="false" outlineLevel="0" collapsed="false"/>
    <row r="3663" customFormat="false" ht="15" hidden="false" customHeight="false" outlineLevel="0" collapsed="false"/>
    <row r="3664" customFormat="false" ht="15" hidden="false" customHeight="false" outlineLevel="0" collapsed="false"/>
    <row r="3665" customFormat="false" ht="15" hidden="false" customHeight="false" outlineLevel="0" collapsed="false"/>
    <row r="3666" customFormat="false" ht="15" hidden="false" customHeight="false" outlineLevel="0" collapsed="false"/>
    <row r="3667" customFormat="false" ht="15" hidden="false" customHeight="false" outlineLevel="0" collapsed="false"/>
    <row r="3668" customFormat="false" ht="15" hidden="false" customHeight="false" outlineLevel="0" collapsed="false"/>
    <row r="3669" customFormat="false" ht="15" hidden="false" customHeight="false" outlineLevel="0" collapsed="false"/>
    <row r="3670" customFormat="false" ht="15" hidden="false" customHeight="false" outlineLevel="0" collapsed="false"/>
    <row r="3671" customFormat="false" ht="15" hidden="false" customHeight="false" outlineLevel="0" collapsed="false"/>
    <row r="3672" customFormat="false" ht="15" hidden="false" customHeight="false" outlineLevel="0" collapsed="false"/>
    <row r="3673" customFormat="false" ht="15" hidden="false" customHeight="false" outlineLevel="0" collapsed="false"/>
    <row r="3674" customFormat="false" ht="15" hidden="false" customHeight="false" outlineLevel="0" collapsed="false"/>
    <row r="3675" customFormat="false" ht="15" hidden="false" customHeight="false" outlineLevel="0" collapsed="false"/>
    <row r="3676" customFormat="false" ht="15" hidden="false" customHeight="false" outlineLevel="0" collapsed="false"/>
    <row r="3677" customFormat="false" ht="15" hidden="false" customHeight="false" outlineLevel="0" collapsed="false"/>
    <row r="3678" customFormat="false" ht="15" hidden="false" customHeight="false" outlineLevel="0" collapsed="false"/>
    <row r="3679" customFormat="false" ht="15" hidden="false" customHeight="false" outlineLevel="0" collapsed="false"/>
    <row r="3680" customFormat="false" ht="15" hidden="false" customHeight="false" outlineLevel="0" collapsed="false"/>
    <row r="3681" customFormat="false" ht="15" hidden="false" customHeight="false" outlineLevel="0" collapsed="false"/>
    <row r="3682" customFormat="false" ht="15" hidden="false" customHeight="false" outlineLevel="0" collapsed="false"/>
    <row r="3683" customFormat="false" ht="15" hidden="false" customHeight="false" outlineLevel="0" collapsed="false"/>
    <row r="3684" customFormat="false" ht="15" hidden="false" customHeight="false" outlineLevel="0" collapsed="false"/>
    <row r="3685" customFormat="false" ht="15" hidden="false" customHeight="false" outlineLevel="0" collapsed="false"/>
    <row r="3686" customFormat="false" ht="15" hidden="false" customHeight="false" outlineLevel="0" collapsed="false"/>
    <row r="3687" customFormat="false" ht="15" hidden="false" customHeight="false" outlineLevel="0" collapsed="false"/>
    <row r="3688" customFormat="false" ht="15" hidden="false" customHeight="false" outlineLevel="0" collapsed="false"/>
    <row r="3689" customFormat="false" ht="15" hidden="false" customHeight="false" outlineLevel="0" collapsed="false"/>
    <row r="3690" customFormat="false" ht="15" hidden="false" customHeight="false" outlineLevel="0" collapsed="false"/>
    <row r="3691" customFormat="false" ht="15" hidden="false" customHeight="false" outlineLevel="0" collapsed="false"/>
    <row r="3692" customFormat="false" ht="15" hidden="false" customHeight="false" outlineLevel="0" collapsed="false"/>
    <row r="3693" customFormat="false" ht="15" hidden="false" customHeight="false" outlineLevel="0" collapsed="false"/>
    <row r="3694" customFormat="false" ht="15" hidden="false" customHeight="false" outlineLevel="0" collapsed="false"/>
    <row r="3695" customFormat="false" ht="15" hidden="false" customHeight="false" outlineLevel="0" collapsed="false"/>
    <row r="3696" customFormat="false" ht="15" hidden="false" customHeight="false" outlineLevel="0" collapsed="false"/>
    <row r="3697" customFormat="false" ht="15" hidden="false" customHeight="false" outlineLevel="0" collapsed="false"/>
    <row r="3698" customFormat="false" ht="15" hidden="false" customHeight="false" outlineLevel="0" collapsed="false"/>
    <row r="3699" customFormat="false" ht="15" hidden="false" customHeight="false" outlineLevel="0" collapsed="false"/>
    <row r="3700" customFormat="false" ht="15" hidden="false" customHeight="false" outlineLevel="0" collapsed="false"/>
    <row r="3701" customFormat="false" ht="15" hidden="false" customHeight="false" outlineLevel="0" collapsed="false"/>
    <row r="3702" customFormat="false" ht="15" hidden="false" customHeight="false" outlineLevel="0" collapsed="false"/>
    <row r="3703" customFormat="false" ht="15" hidden="false" customHeight="false" outlineLevel="0" collapsed="false"/>
    <row r="3704" customFormat="false" ht="15" hidden="false" customHeight="false" outlineLevel="0" collapsed="false"/>
    <row r="3705" customFormat="false" ht="15" hidden="false" customHeight="false" outlineLevel="0" collapsed="false"/>
    <row r="3706" customFormat="false" ht="15" hidden="false" customHeight="false" outlineLevel="0" collapsed="false"/>
    <row r="3707" customFormat="false" ht="15" hidden="false" customHeight="false" outlineLevel="0" collapsed="false"/>
    <row r="3708" customFormat="false" ht="15" hidden="false" customHeight="false" outlineLevel="0" collapsed="false"/>
    <row r="3709" customFormat="false" ht="15" hidden="false" customHeight="false" outlineLevel="0" collapsed="false"/>
    <row r="3710" customFormat="false" ht="15" hidden="false" customHeight="false" outlineLevel="0" collapsed="false"/>
    <row r="3711" customFormat="false" ht="15" hidden="false" customHeight="false" outlineLevel="0" collapsed="false"/>
    <row r="3712" customFormat="false" ht="15" hidden="false" customHeight="false" outlineLevel="0" collapsed="false"/>
    <row r="3713" customFormat="false" ht="15" hidden="false" customHeight="false" outlineLevel="0" collapsed="false"/>
    <row r="3714" customFormat="false" ht="15" hidden="false" customHeight="false" outlineLevel="0" collapsed="false"/>
    <row r="3715" customFormat="false" ht="15" hidden="false" customHeight="false" outlineLevel="0" collapsed="false"/>
    <row r="3716" customFormat="false" ht="15" hidden="false" customHeight="false" outlineLevel="0" collapsed="false"/>
    <row r="3717" customFormat="false" ht="15" hidden="false" customHeight="false" outlineLevel="0" collapsed="false"/>
    <row r="3718" customFormat="false" ht="15" hidden="false" customHeight="false" outlineLevel="0" collapsed="false"/>
    <row r="3719" customFormat="false" ht="15" hidden="false" customHeight="false" outlineLevel="0" collapsed="false"/>
    <row r="3720" customFormat="false" ht="15" hidden="false" customHeight="false" outlineLevel="0" collapsed="false"/>
    <row r="3721" customFormat="false" ht="15" hidden="false" customHeight="false" outlineLevel="0" collapsed="false"/>
    <row r="3722" customFormat="false" ht="15" hidden="false" customHeight="false" outlineLevel="0" collapsed="false"/>
    <row r="3723" customFormat="false" ht="15" hidden="false" customHeight="false" outlineLevel="0" collapsed="false"/>
    <row r="3724" customFormat="false" ht="15" hidden="false" customHeight="false" outlineLevel="0" collapsed="false"/>
    <row r="3725" customFormat="false" ht="15" hidden="false" customHeight="false" outlineLevel="0" collapsed="false"/>
    <row r="3726" customFormat="false" ht="15" hidden="false" customHeight="false" outlineLevel="0" collapsed="false"/>
    <row r="3727" customFormat="false" ht="15" hidden="false" customHeight="false" outlineLevel="0" collapsed="false"/>
    <row r="3728" customFormat="false" ht="15" hidden="false" customHeight="false" outlineLevel="0" collapsed="false"/>
    <row r="3729" customFormat="false" ht="15" hidden="false" customHeight="false" outlineLevel="0" collapsed="false"/>
    <row r="3730" customFormat="false" ht="15" hidden="false" customHeight="false" outlineLevel="0" collapsed="false"/>
    <row r="3731" customFormat="false" ht="15" hidden="false" customHeight="false" outlineLevel="0" collapsed="false"/>
    <row r="3732" customFormat="false" ht="15" hidden="false" customHeight="false" outlineLevel="0" collapsed="false"/>
    <row r="3733" customFormat="false" ht="15" hidden="false" customHeight="false" outlineLevel="0" collapsed="false"/>
    <row r="3734" customFormat="false" ht="15" hidden="false" customHeight="false" outlineLevel="0" collapsed="false"/>
    <row r="3735" customFormat="false" ht="15" hidden="false" customHeight="false" outlineLevel="0" collapsed="false"/>
    <row r="3736" customFormat="false" ht="15" hidden="false" customHeight="false" outlineLevel="0" collapsed="false"/>
    <row r="3737" customFormat="false" ht="15" hidden="false" customHeight="false" outlineLevel="0" collapsed="false"/>
    <row r="3738" customFormat="false" ht="15" hidden="false" customHeight="false" outlineLevel="0" collapsed="false"/>
    <row r="3739" customFormat="false" ht="15" hidden="false" customHeight="false" outlineLevel="0" collapsed="false"/>
    <row r="3740" customFormat="false" ht="15" hidden="false" customHeight="false" outlineLevel="0" collapsed="false"/>
    <row r="3741" customFormat="false" ht="15" hidden="false" customHeight="false" outlineLevel="0" collapsed="false"/>
    <row r="3742" customFormat="false" ht="15" hidden="false" customHeight="false" outlineLevel="0" collapsed="false"/>
    <row r="3743" customFormat="false" ht="15" hidden="false" customHeight="false" outlineLevel="0" collapsed="false"/>
    <row r="3744" customFormat="false" ht="15" hidden="false" customHeight="false" outlineLevel="0" collapsed="false"/>
    <row r="3745" customFormat="false" ht="15" hidden="false" customHeight="false" outlineLevel="0" collapsed="false"/>
    <row r="3746" customFormat="false" ht="15" hidden="false" customHeight="false" outlineLevel="0" collapsed="false"/>
    <row r="3747" customFormat="false" ht="15" hidden="false" customHeight="false" outlineLevel="0" collapsed="false"/>
    <row r="3748" customFormat="false" ht="15" hidden="false" customHeight="false" outlineLevel="0" collapsed="false"/>
    <row r="3749" customFormat="false" ht="15" hidden="false" customHeight="false" outlineLevel="0" collapsed="false"/>
    <row r="3750" customFormat="false" ht="15" hidden="false" customHeight="false" outlineLevel="0" collapsed="false"/>
    <row r="3751" customFormat="false" ht="15" hidden="false" customHeight="false" outlineLevel="0" collapsed="false"/>
    <row r="3752" customFormat="false" ht="15" hidden="false" customHeight="false" outlineLevel="0" collapsed="false"/>
    <row r="3753" customFormat="false" ht="15" hidden="false" customHeight="false" outlineLevel="0" collapsed="false"/>
    <row r="3754" customFormat="false" ht="15" hidden="false" customHeight="false" outlineLevel="0" collapsed="false"/>
    <row r="3755" customFormat="false" ht="15" hidden="false" customHeight="false" outlineLevel="0" collapsed="false"/>
    <row r="3756" customFormat="false" ht="15" hidden="false" customHeight="false" outlineLevel="0" collapsed="false"/>
    <row r="3757" customFormat="false" ht="15" hidden="false" customHeight="false" outlineLevel="0" collapsed="false"/>
    <row r="3758" customFormat="false" ht="15" hidden="false" customHeight="false" outlineLevel="0" collapsed="false"/>
    <row r="3759" customFormat="false" ht="15" hidden="false" customHeight="false" outlineLevel="0" collapsed="false"/>
    <row r="3760" customFormat="false" ht="15" hidden="false" customHeight="false" outlineLevel="0" collapsed="false"/>
    <row r="3761" customFormat="false" ht="15" hidden="false" customHeight="false" outlineLevel="0" collapsed="false"/>
    <row r="3762" customFormat="false" ht="15" hidden="false" customHeight="false" outlineLevel="0" collapsed="false"/>
    <row r="3763" customFormat="false" ht="15" hidden="false" customHeight="false" outlineLevel="0" collapsed="false"/>
    <row r="3764" customFormat="false" ht="15" hidden="false" customHeight="false" outlineLevel="0" collapsed="false"/>
    <row r="3765" customFormat="false" ht="15" hidden="false" customHeight="false" outlineLevel="0" collapsed="false"/>
    <row r="3766" customFormat="false" ht="15" hidden="false" customHeight="false" outlineLevel="0" collapsed="false"/>
    <row r="3767" customFormat="false" ht="15" hidden="false" customHeight="false" outlineLevel="0" collapsed="false"/>
    <row r="3768" customFormat="false" ht="15" hidden="false" customHeight="false" outlineLevel="0" collapsed="false"/>
    <row r="3769" customFormat="false" ht="15" hidden="false" customHeight="false" outlineLevel="0" collapsed="false"/>
    <row r="3770" customFormat="false" ht="15" hidden="false" customHeight="false" outlineLevel="0" collapsed="false"/>
    <row r="3771" customFormat="false" ht="15" hidden="false" customHeight="false" outlineLevel="0" collapsed="false"/>
    <row r="3772" customFormat="false" ht="15" hidden="false" customHeight="false" outlineLevel="0" collapsed="false"/>
    <row r="3773" customFormat="false" ht="15" hidden="false" customHeight="false" outlineLevel="0" collapsed="false"/>
    <row r="3774" customFormat="false" ht="15" hidden="false" customHeight="false" outlineLevel="0" collapsed="false"/>
    <row r="3775" customFormat="false" ht="15" hidden="false" customHeight="false" outlineLevel="0" collapsed="false"/>
    <row r="3776" customFormat="false" ht="15" hidden="false" customHeight="false" outlineLevel="0" collapsed="false"/>
    <row r="3777" customFormat="false" ht="15" hidden="false" customHeight="false" outlineLevel="0" collapsed="false"/>
    <row r="3778" customFormat="false" ht="15" hidden="false" customHeight="false" outlineLevel="0" collapsed="false"/>
    <row r="3779" customFormat="false" ht="15" hidden="false" customHeight="false" outlineLevel="0" collapsed="false"/>
    <row r="3780" customFormat="false" ht="15" hidden="false" customHeight="false" outlineLevel="0" collapsed="false"/>
    <row r="3781" customFormat="false" ht="15" hidden="false" customHeight="false" outlineLevel="0" collapsed="false"/>
    <row r="3782" customFormat="false" ht="15" hidden="false" customHeight="false" outlineLevel="0" collapsed="false"/>
    <row r="3783" customFormat="false" ht="15" hidden="false" customHeight="false" outlineLevel="0" collapsed="false"/>
    <row r="3784" customFormat="false" ht="15" hidden="false" customHeight="false" outlineLevel="0" collapsed="false"/>
    <row r="3785" customFormat="false" ht="15" hidden="false" customHeight="false" outlineLevel="0" collapsed="false"/>
    <row r="3786" customFormat="false" ht="15" hidden="false" customHeight="false" outlineLevel="0" collapsed="false"/>
    <row r="3787" customFormat="false" ht="15" hidden="false" customHeight="false" outlineLevel="0" collapsed="false"/>
    <row r="3788" customFormat="false" ht="15" hidden="false" customHeight="false" outlineLevel="0" collapsed="false"/>
    <row r="3789" customFormat="false" ht="15" hidden="false" customHeight="false" outlineLevel="0" collapsed="false"/>
    <row r="3790" customFormat="false" ht="15" hidden="false" customHeight="false" outlineLevel="0" collapsed="false"/>
    <row r="3791" customFormat="false" ht="15" hidden="false" customHeight="false" outlineLevel="0" collapsed="false"/>
    <row r="3792" customFormat="false" ht="15" hidden="false" customHeight="false" outlineLevel="0" collapsed="false"/>
    <row r="3793" customFormat="false" ht="15" hidden="false" customHeight="false" outlineLevel="0" collapsed="false"/>
    <row r="3794" customFormat="false" ht="15" hidden="false" customHeight="false" outlineLevel="0" collapsed="false"/>
    <row r="3795" customFormat="false" ht="15" hidden="false" customHeight="false" outlineLevel="0" collapsed="false"/>
    <row r="3796" customFormat="false" ht="15" hidden="false" customHeight="false" outlineLevel="0" collapsed="false"/>
    <row r="3797" customFormat="false" ht="15" hidden="false" customHeight="false" outlineLevel="0" collapsed="false"/>
    <row r="3798" customFormat="false" ht="15" hidden="false" customHeight="false" outlineLevel="0" collapsed="false"/>
    <row r="3799" customFormat="false" ht="15" hidden="false" customHeight="false" outlineLevel="0" collapsed="false"/>
    <row r="3800" customFormat="false" ht="15" hidden="false" customHeight="false" outlineLevel="0" collapsed="false"/>
    <row r="3801" customFormat="false" ht="15" hidden="false" customHeight="false" outlineLevel="0" collapsed="false"/>
    <row r="3802" customFormat="false" ht="15" hidden="false" customHeight="false" outlineLevel="0" collapsed="false"/>
    <row r="3803" customFormat="false" ht="15" hidden="false" customHeight="false" outlineLevel="0" collapsed="false"/>
    <row r="3804" customFormat="false" ht="15" hidden="false" customHeight="false" outlineLevel="0" collapsed="false"/>
    <row r="3805" customFormat="false" ht="15" hidden="false" customHeight="false" outlineLevel="0" collapsed="false"/>
    <row r="3806" customFormat="false" ht="15" hidden="false" customHeight="false" outlineLevel="0" collapsed="false"/>
    <row r="3807" customFormat="false" ht="15" hidden="false" customHeight="false" outlineLevel="0" collapsed="false"/>
    <row r="3808" customFormat="false" ht="15" hidden="false" customHeight="false" outlineLevel="0" collapsed="false"/>
    <row r="3809" customFormat="false" ht="15" hidden="false" customHeight="false" outlineLevel="0" collapsed="false"/>
    <row r="3810" customFormat="false" ht="15" hidden="false" customHeight="false" outlineLevel="0" collapsed="false"/>
    <row r="3811" customFormat="false" ht="15" hidden="false" customHeight="false" outlineLevel="0" collapsed="false"/>
    <row r="3812" customFormat="false" ht="15" hidden="false" customHeight="false" outlineLevel="0" collapsed="false"/>
    <row r="3813" customFormat="false" ht="15" hidden="false" customHeight="false" outlineLevel="0" collapsed="false"/>
    <row r="3814" customFormat="false" ht="15" hidden="false" customHeight="false" outlineLevel="0" collapsed="false"/>
    <row r="3815" customFormat="false" ht="15" hidden="false" customHeight="false" outlineLevel="0" collapsed="false"/>
    <row r="3816" customFormat="false" ht="15" hidden="false" customHeight="false" outlineLevel="0" collapsed="false"/>
    <row r="3817" customFormat="false" ht="15" hidden="false" customHeight="false" outlineLevel="0" collapsed="false"/>
    <row r="3818" customFormat="false" ht="15" hidden="false" customHeight="false" outlineLevel="0" collapsed="false"/>
    <row r="3819" customFormat="false" ht="15" hidden="false" customHeight="false" outlineLevel="0" collapsed="false"/>
    <row r="3820" customFormat="false" ht="15" hidden="false" customHeight="false" outlineLevel="0" collapsed="false"/>
    <row r="3821" customFormat="false" ht="15" hidden="false" customHeight="false" outlineLevel="0" collapsed="false"/>
    <row r="3822" customFormat="false" ht="15" hidden="false" customHeight="false" outlineLevel="0" collapsed="false"/>
    <row r="3823" customFormat="false" ht="15" hidden="false" customHeight="false" outlineLevel="0" collapsed="false"/>
    <row r="3824" customFormat="false" ht="15" hidden="false" customHeight="false" outlineLevel="0" collapsed="false"/>
    <row r="3825" customFormat="false" ht="15" hidden="false" customHeight="false" outlineLevel="0" collapsed="false"/>
    <row r="3826" customFormat="false" ht="15" hidden="false" customHeight="false" outlineLevel="0" collapsed="false"/>
    <row r="3827" customFormat="false" ht="15" hidden="false" customHeight="false" outlineLevel="0" collapsed="false"/>
    <row r="3828" customFormat="false" ht="15" hidden="false" customHeight="false" outlineLevel="0" collapsed="false"/>
    <row r="3829" customFormat="false" ht="15" hidden="false" customHeight="false" outlineLevel="0" collapsed="false"/>
    <row r="3830" customFormat="false" ht="15" hidden="false" customHeight="false" outlineLevel="0" collapsed="false"/>
    <row r="3831" customFormat="false" ht="15" hidden="false" customHeight="false" outlineLevel="0" collapsed="false"/>
    <row r="3832" customFormat="false" ht="15" hidden="false" customHeight="false" outlineLevel="0" collapsed="false"/>
    <row r="3833" customFormat="false" ht="15" hidden="false" customHeight="false" outlineLevel="0" collapsed="false"/>
    <row r="3834" customFormat="false" ht="15" hidden="false" customHeight="false" outlineLevel="0" collapsed="false"/>
    <row r="3835" customFormat="false" ht="15" hidden="false" customHeight="false" outlineLevel="0" collapsed="false"/>
    <row r="3836" customFormat="false" ht="15" hidden="false" customHeight="false" outlineLevel="0" collapsed="false"/>
    <row r="3837" customFormat="false" ht="15" hidden="false" customHeight="false" outlineLevel="0" collapsed="false"/>
    <row r="3838" customFormat="false" ht="15" hidden="false" customHeight="false" outlineLevel="0" collapsed="false"/>
    <row r="3839" customFormat="false" ht="15" hidden="false" customHeight="false" outlineLevel="0" collapsed="false"/>
    <row r="3840" customFormat="false" ht="15" hidden="false" customHeight="false" outlineLevel="0" collapsed="false"/>
    <row r="3841" customFormat="false" ht="15" hidden="false" customHeight="false" outlineLevel="0" collapsed="false"/>
    <row r="3842" customFormat="false" ht="15" hidden="false" customHeight="false" outlineLevel="0" collapsed="false"/>
    <row r="3843" customFormat="false" ht="15" hidden="false" customHeight="false" outlineLevel="0" collapsed="false"/>
    <row r="3844" customFormat="false" ht="15" hidden="false" customHeight="false" outlineLevel="0" collapsed="false"/>
    <row r="3845" customFormat="false" ht="15" hidden="false" customHeight="false" outlineLevel="0" collapsed="false"/>
    <row r="3846" customFormat="false" ht="15" hidden="false" customHeight="false" outlineLevel="0" collapsed="false"/>
    <row r="3847" customFormat="false" ht="15" hidden="false" customHeight="false" outlineLevel="0" collapsed="false"/>
    <row r="3848" customFormat="false" ht="15" hidden="false" customHeight="false" outlineLevel="0" collapsed="false"/>
    <row r="3849" customFormat="false" ht="15" hidden="false" customHeight="false" outlineLevel="0" collapsed="false"/>
    <row r="3850" customFormat="false" ht="15" hidden="false" customHeight="false" outlineLevel="0" collapsed="false"/>
    <row r="3851" customFormat="false" ht="15" hidden="false" customHeight="false" outlineLevel="0" collapsed="false"/>
    <row r="3852" customFormat="false" ht="15" hidden="false" customHeight="false" outlineLevel="0" collapsed="false"/>
    <row r="3853" customFormat="false" ht="15" hidden="false" customHeight="false" outlineLevel="0" collapsed="false"/>
    <row r="3854" customFormat="false" ht="15" hidden="false" customHeight="false" outlineLevel="0" collapsed="false"/>
    <row r="3855" customFormat="false" ht="15" hidden="false" customHeight="false" outlineLevel="0" collapsed="false"/>
    <row r="3856" customFormat="false" ht="15" hidden="false" customHeight="false" outlineLevel="0" collapsed="false"/>
    <row r="3857" customFormat="false" ht="15" hidden="false" customHeight="false" outlineLevel="0" collapsed="false"/>
    <row r="3858" customFormat="false" ht="15" hidden="false" customHeight="false" outlineLevel="0" collapsed="false"/>
    <row r="3859" customFormat="false" ht="15" hidden="false" customHeight="false" outlineLevel="0" collapsed="false"/>
    <row r="3860" customFormat="false" ht="15" hidden="false" customHeight="false" outlineLevel="0" collapsed="false"/>
    <row r="3861" customFormat="false" ht="15" hidden="false" customHeight="false" outlineLevel="0" collapsed="false"/>
    <row r="3862" customFormat="false" ht="15" hidden="false" customHeight="false" outlineLevel="0" collapsed="false"/>
    <row r="3863" customFormat="false" ht="15" hidden="false" customHeight="false" outlineLevel="0" collapsed="false"/>
    <row r="3864" customFormat="false" ht="15" hidden="false" customHeight="false" outlineLevel="0" collapsed="false"/>
    <row r="3865" customFormat="false" ht="15" hidden="false" customHeight="false" outlineLevel="0" collapsed="false"/>
    <row r="3866" customFormat="false" ht="15" hidden="false" customHeight="false" outlineLevel="0" collapsed="false"/>
    <row r="3867" customFormat="false" ht="15" hidden="false" customHeight="false" outlineLevel="0" collapsed="false"/>
    <row r="3868" customFormat="false" ht="15" hidden="false" customHeight="false" outlineLevel="0" collapsed="false"/>
    <row r="3869" customFormat="false" ht="15" hidden="false" customHeight="false" outlineLevel="0" collapsed="false"/>
    <row r="3870" customFormat="false" ht="15" hidden="false" customHeight="false" outlineLevel="0" collapsed="false"/>
    <row r="3871" customFormat="false" ht="15" hidden="false" customHeight="false" outlineLevel="0" collapsed="false"/>
    <row r="3872" customFormat="false" ht="15" hidden="false" customHeight="false" outlineLevel="0" collapsed="false"/>
    <row r="3873" customFormat="false" ht="15" hidden="false" customHeight="false" outlineLevel="0" collapsed="false"/>
    <row r="3874" customFormat="false" ht="15" hidden="false" customHeight="false" outlineLevel="0" collapsed="false"/>
    <row r="3875" customFormat="false" ht="15" hidden="false" customHeight="false" outlineLevel="0" collapsed="false"/>
    <row r="3876" customFormat="false" ht="15" hidden="false" customHeight="false" outlineLevel="0" collapsed="false"/>
    <row r="3877" customFormat="false" ht="15" hidden="false" customHeight="false" outlineLevel="0" collapsed="false"/>
    <row r="3878" customFormat="false" ht="15" hidden="false" customHeight="false" outlineLevel="0" collapsed="false"/>
    <row r="3879" customFormat="false" ht="15" hidden="false" customHeight="false" outlineLevel="0" collapsed="false"/>
    <row r="3880" customFormat="false" ht="15" hidden="false" customHeight="false" outlineLevel="0" collapsed="false"/>
    <row r="3881" customFormat="false" ht="15" hidden="false" customHeight="false" outlineLevel="0" collapsed="false"/>
    <row r="3882" customFormat="false" ht="15" hidden="false" customHeight="false" outlineLevel="0" collapsed="false"/>
    <row r="3883" customFormat="false" ht="15" hidden="false" customHeight="false" outlineLevel="0" collapsed="false"/>
    <row r="3884" customFormat="false" ht="15" hidden="false" customHeight="false" outlineLevel="0" collapsed="false"/>
    <row r="3885" customFormat="false" ht="15" hidden="false" customHeight="false" outlineLevel="0" collapsed="false"/>
    <row r="3886" customFormat="false" ht="15" hidden="false" customHeight="false" outlineLevel="0" collapsed="false"/>
    <row r="3887" customFormat="false" ht="15" hidden="false" customHeight="false" outlineLevel="0" collapsed="false"/>
    <row r="3888" customFormat="false" ht="15" hidden="false" customHeight="false" outlineLevel="0" collapsed="false"/>
    <row r="3889" customFormat="false" ht="15" hidden="false" customHeight="false" outlineLevel="0" collapsed="false"/>
    <row r="3890" customFormat="false" ht="15" hidden="false" customHeight="false" outlineLevel="0" collapsed="false"/>
    <row r="3891" customFormat="false" ht="15" hidden="false" customHeight="false" outlineLevel="0" collapsed="false"/>
    <row r="3892" customFormat="false" ht="15" hidden="false" customHeight="false" outlineLevel="0" collapsed="false"/>
    <row r="3893" customFormat="false" ht="15" hidden="false" customHeight="false" outlineLevel="0" collapsed="false"/>
    <row r="3894" customFormat="false" ht="15" hidden="false" customHeight="false" outlineLevel="0" collapsed="false"/>
    <row r="3895" customFormat="false" ht="15" hidden="false" customHeight="false" outlineLevel="0" collapsed="false"/>
    <row r="3896" customFormat="false" ht="15" hidden="false" customHeight="false" outlineLevel="0" collapsed="false"/>
    <row r="3897" customFormat="false" ht="15" hidden="false" customHeight="false" outlineLevel="0" collapsed="false"/>
    <row r="3898" customFormat="false" ht="15" hidden="false" customHeight="false" outlineLevel="0" collapsed="false"/>
    <row r="3899" customFormat="false" ht="15" hidden="false" customHeight="false" outlineLevel="0" collapsed="false"/>
    <row r="3900" customFormat="false" ht="15" hidden="false" customHeight="false" outlineLevel="0" collapsed="false"/>
    <row r="3901" customFormat="false" ht="15" hidden="false" customHeight="false" outlineLevel="0" collapsed="false"/>
    <row r="3902" customFormat="false" ht="15" hidden="false" customHeight="false" outlineLevel="0" collapsed="false"/>
    <row r="3903" customFormat="false" ht="15" hidden="false" customHeight="false" outlineLevel="0" collapsed="false"/>
    <row r="3904" customFormat="false" ht="15" hidden="false" customHeight="false" outlineLevel="0" collapsed="false"/>
    <row r="3905" customFormat="false" ht="15" hidden="false" customHeight="false" outlineLevel="0" collapsed="false"/>
    <row r="3906" customFormat="false" ht="15" hidden="false" customHeight="false" outlineLevel="0" collapsed="false"/>
    <row r="3907" customFormat="false" ht="15" hidden="false" customHeight="false" outlineLevel="0" collapsed="false"/>
    <row r="3908" customFormat="false" ht="15" hidden="false" customHeight="false" outlineLevel="0" collapsed="false"/>
    <row r="3909" customFormat="false" ht="15" hidden="false" customHeight="false" outlineLevel="0" collapsed="false"/>
    <row r="3910" customFormat="false" ht="15" hidden="false" customHeight="false" outlineLevel="0" collapsed="false"/>
    <row r="3911" customFormat="false" ht="15" hidden="false" customHeight="false" outlineLevel="0" collapsed="false"/>
    <row r="3912" customFormat="false" ht="15" hidden="false" customHeight="false" outlineLevel="0" collapsed="false"/>
    <row r="3913" customFormat="false" ht="15" hidden="false" customHeight="false" outlineLevel="0" collapsed="false"/>
    <row r="3914" customFormat="false" ht="15" hidden="false" customHeight="false" outlineLevel="0" collapsed="false"/>
    <row r="3915" customFormat="false" ht="15" hidden="false" customHeight="false" outlineLevel="0" collapsed="false"/>
    <row r="3916" customFormat="false" ht="15" hidden="false" customHeight="false" outlineLevel="0" collapsed="false"/>
    <row r="3917" customFormat="false" ht="15" hidden="false" customHeight="false" outlineLevel="0" collapsed="false"/>
    <row r="3918" customFormat="false" ht="15" hidden="false" customHeight="false" outlineLevel="0" collapsed="false"/>
    <row r="3919" customFormat="false" ht="15" hidden="false" customHeight="false" outlineLevel="0" collapsed="false"/>
    <row r="3920" customFormat="false" ht="15" hidden="false" customHeight="false" outlineLevel="0" collapsed="false"/>
    <row r="3921" customFormat="false" ht="15" hidden="false" customHeight="false" outlineLevel="0" collapsed="false"/>
    <row r="3922" customFormat="false" ht="15" hidden="false" customHeight="false" outlineLevel="0" collapsed="false"/>
    <row r="3923" customFormat="false" ht="15" hidden="false" customHeight="false" outlineLevel="0" collapsed="false"/>
    <row r="3924" customFormat="false" ht="15" hidden="false" customHeight="false" outlineLevel="0" collapsed="false"/>
    <row r="3925" customFormat="false" ht="15" hidden="false" customHeight="false" outlineLevel="0" collapsed="false"/>
    <row r="3926" customFormat="false" ht="15" hidden="false" customHeight="false" outlineLevel="0" collapsed="false"/>
    <row r="3927" customFormat="false" ht="15" hidden="false" customHeight="false" outlineLevel="0" collapsed="false"/>
    <row r="3928" customFormat="false" ht="15" hidden="false" customHeight="false" outlineLevel="0" collapsed="false"/>
    <row r="3929" customFormat="false" ht="15" hidden="false" customHeight="false" outlineLevel="0" collapsed="false"/>
    <row r="3930" customFormat="false" ht="15" hidden="false" customHeight="false" outlineLevel="0" collapsed="false"/>
    <row r="3931" customFormat="false" ht="15" hidden="false" customHeight="false" outlineLevel="0" collapsed="false"/>
    <row r="3932" customFormat="false" ht="15" hidden="false" customHeight="false" outlineLevel="0" collapsed="false"/>
    <row r="3933" customFormat="false" ht="15" hidden="false" customHeight="false" outlineLevel="0" collapsed="false"/>
    <row r="3934" customFormat="false" ht="15" hidden="false" customHeight="false" outlineLevel="0" collapsed="false"/>
    <row r="3935" customFormat="false" ht="15" hidden="false" customHeight="false" outlineLevel="0" collapsed="false"/>
    <row r="3936" customFormat="false" ht="15" hidden="false" customHeight="false" outlineLevel="0" collapsed="false"/>
    <row r="3937" customFormat="false" ht="15" hidden="false" customHeight="false" outlineLevel="0" collapsed="false"/>
    <row r="3938" customFormat="false" ht="15" hidden="false" customHeight="false" outlineLevel="0" collapsed="false"/>
    <row r="3939" customFormat="false" ht="15" hidden="false" customHeight="false" outlineLevel="0" collapsed="false"/>
    <row r="3940" customFormat="false" ht="15" hidden="false" customHeight="false" outlineLevel="0" collapsed="false"/>
    <row r="3941" customFormat="false" ht="15" hidden="false" customHeight="false" outlineLevel="0" collapsed="false"/>
    <row r="3942" customFormat="false" ht="15" hidden="false" customHeight="false" outlineLevel="0" collapsed="false"/>
    <row r="3943" customFormat="false" ht="15" hidden="false" customHeight="false" outlineLevel="0" collapsed="false"/>
    <row r="3944" customFormat="false" ht="15" hidden="false" customHeight="false" outlineLevel="0" collapsed="false"/>
    <row r="3945" customFormat="false" ht="15" hidden="false" customHeight="false" outlineLevel="0" collapsed="false"/>
    <row r="3946" customFormat="false" ht="15" hidden="false" customHeight="false" outlineLevel="0" collapsed="false"/>
    <row r="3947" customFormat="false" ht="15" hidden="false" customHeight="false" outlineLevel="0" collapsed="false"/>
    <row r="3948" customFormat="false" ht="15" hidden="false" customHeight="false" outlineLevel="0" collapsed="false"/>
    <row r="3949" customFormat="false" ht="15" hidden="false" customHeight="false" outlineLevel="0" collapsed="false"/>
    <row r="3950" customFormat="false" ht="15" hidden="false" customHeight="false" outlineLevel="0" collapsed="false"/>
    <row r="3951" customFormat="false" ht="15" hidden="false" customHeight="false" outlineLevel="0" collapsed="false"/>
    <row r="3952" customFormat="false" ht="15" hidden="false" customHeight="false" outlineLevel="0" collapsed="false"/>
    <row r="3953" customFormat="false" ht="15" hidden="false" customHeight="false" outlineLevel="0" collapsed="false"/>
    <row r="3954" customFormat="false" ht="15" hidden="false" customHeight="false" outlineLevel="0" collapsed="false"/>
    <row r="3955" customFormat="false" ht="15" hidden="false" customHeight="false" outlineLevel="0" collapsed="false"/>
    <row r="3956" customFormat="false" ht="15" hidden="false" customHeight="false" outlineLevel="0" collapsed="false"/>
    <row r="3957" customFormat="false" ht="15" hidden="false" customHeight="false" outlineLevel="0" collapsed="false"/>
    <row r="3958" customFormat="false" ht="15" hidden="false" customHeight="false" outlineLevel="0" collapsed="false"/>
    <row r="3959" customFormat="false" ht="15" hidden="false" customHeight="false" outlineLevel="0" collapsed="false"/>
    <row r="3960" customFormat="false" ht="15" hidden="false" customHeight="false" outlineLevel="0" collapsed="false"/>
    <row r="3961" customFormat="false" ht="15" hidden="false" customHeight="false" outlineLevel="0" collapsed="false"/>
    <row r="3962" customFormat="false" ht="15" hidden="false" customHeight="false" outlineLevel="0" collapsed="false"/>
    <row r="3963" customFormat="false" ht="15" hidden="false" customHeight="false" outlineLevel="0" collapsed="false"/>
    <row r="3964" customFormat="false" ht="15" hidden="false" customHeight="false" outlineLevel="0" collapsed="false"/>
    <row r="3965" customFormat="false" ht="15" hidden="false" customHeight="false" outlineLevel="0" collapsed="false"/>
    <row r="3966" customFormat="false" ht="15" hidden="false" customHeight="false" outlineLevel="0" collapsed="false"/>
    <row r="3967" customFormat="false" ht="15" hidden="false" customHeight="false" outlineLevel="0" collapsed="false"/>
    <row r="3968" customFormat="false" ht="15" hidden="false" customHeight="false" outlineLevel="0" collapsed="false"/>
    <row r="3969" customFormat="false" ht="15" hidden="false" customHeight="false" outlineLevel="0" collapsed="false"/>
    <row r="3970" customFormat="false" ht="15" hidden="false" customHeight="false" outlineLevel="0" collapsed="false"/>
    <row r="3971" customFormat="false" ht="15" hidden="false" customHeight="false" outlineLevel="0" collapsed="false"/>
    <row r="3972" customFormat="false" ht="15" hidden="false" customHeight="false" outlineLevel="0" collapsed="false"/>
    <row r="3973" customFormat="false" ht="15" hidden="false" customHeight="false" outlineLevel="0" collapsed="false"/>
    <row r="3974" customFormat="false" ht="15" hidden="false" customHeight="false" outlineLevel="0" collapsed="false"/>
    <row r="3975" customFormat="false" ht="15" hidden="false" customHeight="false" outlineLevel="0" collapsed="false"/>
    <row r="3976" customFormat="false" ht="15" hidden="false" customHeight="false" outlineLevel="0" collapsed="false"/>
    <row r="3977" customFormat="false" ht="15" hidden="false" customHeight="false" outlineLevel="0" collapsed="false"/>
    <row r="3978" customFormat="false" ht="15" hidden="false" customHeight="false" outlineLevel="0" collapsed="false"/>
    <row r="3979" customFormat="false" ht="15" hidden="false" customHeight="false" outlineLevel="0" collapsed="false"/>
    <row r="3980" customFormat="false" ht="15" hidden="false" customHeight="false" outlineLevel="0" collapsed="false"/>
    <row r="3981" customFormat="false" ht="15" hidden="false" customHeight="false" outlineLevel="0" collapsed="false"/>
    <row r="3982" customFormat="false" ht="15" hidden="false" customHeight="false" outlineLevel="0" collapsed="false"/>
    <row r="3983" customFormat="false" ht="15" hidden="false" customHeight="false" outlineLevel="0" collapsed="false"/>
    <row r="3984" customFormat="false" ht="15" hidden="false" customHeight="false" outlineLevel="0" collapsed="false"/>
    <row r="3985" customFormat="false" ht="15" hidden="false" customHeight="false" outlineLevel="0" collapsed="false"/>
    <row r="3986" customFormat="false" ht="15" hidden="false" customHeight="false" outlineLevel="0" collapsed="false"/>
    <row r="3987" customFormat="false" ht="15" hidden="false" customHeight="false" outlineLevel="0" collapsed="false"/>
    <row r="3988" customFormat="false" ht="15" hidden="false" customHeight="false" outlineLevel="0" collapsed="false"/>
    <row r="3989" customFormat="false" ht="15" hidden="false" customHeight="false" outlineLevel="0" collapsed="false"/>
    <row r="3990" customFormat="false" ht="15" hidden="false" customHeight="false" outlineLevel="0" collapsed="false"/>
    <row r="3991" customFormat="false" ht="15" hidden="false" customHeight="false" outlineLevel="0" collapsed="false"/>
    <row r="3992" customFormat="false" ht="15" hidden="false" customHeight="false" outlineLevel="0" collapsed="false"/>
    <row r="3993" customFormat="false" ht="15" hidden="false" customHeight="false" outlineLevel="0" collapsed="false"/>
    <row r="3994" customFormat="false" ht="15" hidden="false" customHeight="false" outlineLevel="0" collapsed="false"/>
    <row r="3995" customFormat="false" ht="15" hidden="false" customHeight="false" outlineLevel="0" collapsed="false"/>
    <row r="3996" customFormat="false" ht="15" hidden="false" customHeight="false" outlineLevel="0" collapsed="false"/>
    <row r="3997" customFormat="false" ht="15" hidden="false" customHeight="false" outlineLevel="0" collapsed="false"/>
    <row r="3998" customFormat="false" ht="15" hidden="false" customHeight="false" outlineLevel="0" collapsed="false"/>
    <row r="3999" customFormat="false" ht="15" hidden="false" customHeight="false" outlineLevel="0" collapsed="false"/>
    <row r="4000" customFormat="false" ht="15" hidden="false" customHeight="false" outlineLevel="0" collapsed="false"/>
    <row r="4001" customFormat="false" ht="15" hidden="false" customHeight="false" outlineLevel="0" collapsed="false"/>
    <row r="4002" customFormat="false" ht="15" hidden="false" customHeight="false" outlineLevel="0" collapsed="false"/>
    <row r="4003" customFormat="false" ht="15" hidden="false" customHeight="false" outlineLevel="0" collapsed="false"/>
    <row r="4004" customFormat="false" ht="15" hidden="false" customHeight="false" outlineLevel="0" collapsed="false"/>
    <row r="4005" customFormat="false" ht="15" hidden="false" customHeight="false" outlineLevel="0" collapsed="false"/>
    <row r="4006" customFormat="false" ht="15" hidden="false" customHeight="false" outlineLevel="0" collapsed="false"/>
    <row r="4007" customFormat="false" ht="15" hidden="false" customHeight="false" outlineLevel="0" collapsed="false"/>
    <row r="4008" customFormat="false" ht="15" hidden="false" customHeight="false" outlineLevel="0" collapsed="false"/>
    <row r="4009" customFormat="false" ht="15" hidden="false" customHeight="false" outlineLevel="0" collapsed="false"/>
    <row r="4010" customFormat="false" ht="15" hidden="false" customHeight="false" outlineLevel="0" collapsed="false"/>
    <row r="4011" customFormat="false" ht="15" hidden="false" customHeight="false" outlineLevel="0" collapsed="false"/>
    <row r="4012" customFormat="false" ht="15" hidden="false" customHeight="false" outlineLevel="0" collapsed="false"/>
    <row r="4013" customFormat="false" ht="15" hidden="false" customHeight="false" outlineLevel="0" collapsed="false"/>
    <row r="4014" customFormat="false" ht="15" hidden="false" customHeight="false" outlineLevel="0" collapsed="false"/>
    <row r="4015" customFormat="false" ht="15" hidden="false" customHeight="false" outlineLevel="0" collapsed="false"/>
    <row r="4016" customFormat="false" ht="15" hidden="false" customHeight="false" outlineLevel="0" collapsed="false"/>
    <row r="4017" customFormat="false" ht="15" hidden="false" customHeight="false" outlineLevel="0" collapsed="false"/>
    <row r="4018" customFormat="false" ht="15" hidden="false" customHeight="false" outlineLevel="0" collapsed="false"/>
    <row r="4019" customFormat="false" ht="15" hidden="false" customHeight="false" outlineLevel="0" collapsed="false"/>
    <row r="4020" customFormat="false" ht="15" hidden="false" customHeight="false" outlineLevel="0" collapsed="false"/>
    <row r="4021" customFormat="false" ht="15" hidden="false" customHeight="false" outlineLevel="0" collapsed="false"/>
    <row r="4022" customFormat="false" ht="15" hidden="false" customHeight="false" outlineLevel="0" collapsed="false"/>
    <row r="4023" customFormat="false" ht="15" hidden="false" customHeight="false" outlineLevel="0" collapsed="false"/>
    <row r="4024" customFormat="false" ht="15" hidden="false" customHeight="false" outlineLevel="0" collapsed="false"/>
    <row r="4025" customFormat="false" ht="15" hidden="false" customHeight="false" outlineLevel="0" collapsed="false"/>
    <row r="4026" customFormat="false" ht="15" hidden="false" customHeight="false" outlineLevel="0" collapsed="false"/>
    <row r="4027" customFormat="false" ht="15" hidden="false" customHeight="false" outlineLevel="0" collapsed="false"/>
    <row r="4028" customFormat="false" ht="15" hidden="false" customHeight="false" outlineLevel="0" collapsed="false"/>
    <row r="4029" customFormat="false" ht="15" hidden="false" customHeight="false" outlineLevel="0" collapsed="false"/>
    <row r="4030" customFormat="false" ht="15" hidden="false" customHeight="false" outlineLevel="0" collapsed="false"/>
    <row r="4031" customFormat="false" ht="15" hidden="false" customHeight="false" outlineLevel="0" collapsed="false"/>
    <row r="4032" customFormat="false" ht="15" hidden="false" customHeight="false" outlineLevel="0" collapsed="false"/>
    <row r="4033" customFormat="false" ht="15" hidden="false" customHeight="false" outlineLevel="0" collapsed="false"/>
    <row r="4034" customFormat="false" ht="15" hidden="false" customHeight="false" outlineLevel="0" collapsed="false"/>
    <row r="4035" customFormat="false" ht="15" hidden="false" customHeight="false" outlineLevel="0" collapsed="false"/>
    <row r="4036" customFormat="false" ht="15" hidden="false" customHeight="false" outlineLevel="0" collapsed="false"/>
    <row r="4037" customFormat="false" ht="15" hidden="false" customHeight="false" outlineLevel="0" collapsed="false"/>
    <row r="4038" customFormat="false" ht="15" hidden="false" customHeight="false" outlineLevel="0" collapsed="false"/>
    <row r="4039" customFormat="false" ht="15" hidden="false" customHeight="false" outlineLevel="0" collapsed="false"/>
    <row r="4040" customFormat="false" ht="15" hidden="false" customHeight="false" outlineLevel="0" collapsed="false"/>
    <row r="4041" customFormat="false" ht="15" hidden="false" customHeight="false" outlineLevel="0" collapsed="false"/>
    <row r="4042" customFormat="false" ht="15" hidden="false" customHeight="false" outlineLevel="0" collapsed="false"/>
    <row r="4043" customFormat="false" ht="15" hidden="false" customHeight="false" outlineLevel="0" collapsed="false"/>
    <row r="4044" customFormat="false" ht="15" hidden="false" customHeight="false" outlineLevel="0" collapsed="false"/>
    <row r="4045" customFormat="false" ht="15" hidden="false" customHeight="false" outlineLevel="0" collapsed="false"/>
    <row r="4046" customFormat="false" ht="15" hidden="false" customHeight="false" outlineLevel="0" collapsed="false"/>
    <row r="4047" customFormat="false" ht="15" hidden="false" customHeight="false" outlineLevel="0" collapsed="false"/>
    <row r="4048" customFormat="false" ht="15" hidden="false" customHeight="false" outlineLevel="0" collapsed="false"/>
    <row r="4049" customFormat="false" ht="15" hidden="false" customHeight="false" outlineLevel="0" collapsed="false"/>
    <row r="4050" customFormat="false" ht="15" hidden="false" customHeight="false" outlineLevel="0" collapsed="false"/>
    <row r="4051" customFormat="false" ht="15" hidden="false" customHeight="false" outlineLevel="0" collapsed="false"/>
    <row r="4052" customFormat="false" ht="15" hidden="false" customHeight="false" outlineLevel="0" collapsed="false"/>
    <row r="4053" customFormat="false" ht="15" hidden="false" customHeight="false" outlineLevel="0" collapsed="false"/>
    <row r="4054" customFormat="false" ht="15" hidden="false" customHeight="false" outlineLevel="0" collapsed="false"/>
    <row r="4055" customFormat="false" ht="15" hidden="false" customHeight="false" outlineLevel="0" collapsed="false"/>
    <row r="4056" customFormat="false" ht="15" hidden="false" customHeight="false" outlineLevel="0" collapsed="false"/>
    <row r="4057" customFormat="false" ht="15" hidden="false" customHeight="false" outlineLevel="0" collapsed="false"/>
    <row r="4058" customFormat="false" ht="15" hidden="false" customHeight="false" outlineLevel="0" collapsed="false"/>
    <row r="4059" customFormat="false" ht="15" hidden="false" customHeight="false" outlineLevel="0" collapsed="false"/>
    <row r="4060" customFormat="false" ht="15" hidden="false" customHeight="false" outlineLevel="0" collapsed="false"/>
    <row r="4061" customFormat="false" ht="15" hidden="false" customHeight="false" outlineLevel="0" collapsed="false"/>
    <row r="4062" customFormat="false" ht="15" hidden="false" customHeight="false" outlineLevel="0" collapsed="false"/>
    <row r="4063" customFormat="false" ht="15" hidden="false" customHeight="false" outlineLevel="0" collapsed="false"/>
    <row r="4064" customFormat="false" ht="15" hidden="false" customHeight="false" outlineLevel="0" collapsed="false"/>
    <row r="4065" customFormat="false" ht="15" hidden="false" customHeight="false" outlineLevel="0" collapsed="false"/>
    <row r="4066" customFormat="false" ht="15" hidden="false" customHeight="false" outlineLevel="0" collapsed="false"/>
    <row r="4067" customFormat="false" ht="15" hidden="false" customHeight="false" outlineLevel="0" collapsed="false"/>
    <row r="4068" customFormat="false" ht="15" hidden="false" customHeight="false" outlineLevel="0" collapsed="false"/>
    <row r="4069" customFormat="false" ht="15" hidden="false" customHeight="false" outlineLevel="0" collapsed="false"/>
    <row r="4070" customFormat="false" ht="15" hidden="false" customHeight="false" outlineLevel="0" collapsed="false"/>
    <row r="4071" customFormat="false" ht="15" hidden="false" customHeight="false" outlineLevel="0" collapsed="false"/>
    <row r="4072" customFormat="false" ht="15" hidden="false" customHeight="false" outlineLevel="0" collapsed="false"/>
    <row r="4073" customFormat="false" ht="15" hidden="false" customHeight="false" outlineLevel="0" collapsed="false"/>
    <row r="4074" customFormat="false" ht="15" hidden="false" customHeight="false" outlineLevel="0" collapsed="false"/>
    <row r="4075" customFormat="false" ht="15" hidden="false" customHeight="false" outlineLevel="0" collapsed="false"/>
    <row r="4076" customFormat="false" ht="15" hidden="false" customHeight="false" outlineLevel="0" collapsed="false"/>
    <row r="4077" customFormat="false" ht="15" hidden="false" customHeight="false" outlineLevel="0" collapsed="false"/>
    <row r="4078" customFormat="false" ht="15" hidden="false" customHeight="false" outlineLevel="0" collapsed="false"/>
    <row r="4079" customFormat="false" ht="15" hidden="false" customHeight="false" outlineLevel="0" collapsed="false"/>
    <row r="4080" customFormat="false" ht="15" hidden="false" customHeight="false" outlineLevel="0" collapsed="false"/>
    <row r="4081" customFormat="false" ht="15" hidden="false" customHeight="false" outlineLevel="0" collapsed="false"/>
    <row r="4082" customFormat="false" ht="15" hidden="false" customHeight="false" outlineLevel="0" collapsed="false"/>
    <row r="4083" customFormat="false" ht="15" hidden="false" customHeight="false" outlineLevel="0" collapsed="false"/>
    <row r="4084" customFormat="false" ht="15" hidden="false" customHeight="false" outlineLevel="0" collapsed="false"/>
    <row r="4085" customFormat="false" ht="15" hidden="false" customHeight="false" outlineLevel="0" collapsed="false"/>
    <row r="4086" customFormat="false" ht="15" hidden="false" customHeight="false" outlineLevel="0" collapsed="false"/>
    <row r="4087" customFormat="false" ht="15" hidden="false" customHeight="false" outlineLevel="0" collapsed="false"/>
    <row r="4088" customFormat="false" ht="15" hidden="false" customHeight="false" outlineLevel="0" collapsed="false"/>
    <row r="4089" customFormat="false" ht="15" hidden="false" customHeight="false" outlineLevel="0" collapsed="false"/>
    <row r="4090" customFormat="false" ht="15" hidden="false" customHeight="false" outlineLevel="0" collapsed="false"/>
    <row r="4091" customFormat="false" ht="15" hidden="false" customHeight="false" outlineLevel="0" collapsed="false"/>
    <row r="4092" customFormat="false" ht="15" hidden="false" customHeight="false" outlineLevel="0" collapsed="false"/>
    <row r="4093" customFormat="false" ht="15" hidden="false" customHeight="false" outlineLevel="0" collapsed="false"/>
    <row r="4094" customFormat="false" ht="15" hidden="false" customHeight="false" outlineLevel="0" collapsed="false"/>
    <row r="4095" customFormat="false" ht="15" hidden="false" customHeight="false" outlineLevel="0" collapsed="false"/>
    <row r="4096" customFormat="false" ht="15" hidden="false" customHeight="false" outlineLevel="0" collapsed="false"/>
    <row r="4097" customFormat="false" ht="15" hidden="false" customHeight="false" outlineLevel="0" collapsed="false"/>
    <row r="4098" customFormat="false" ht="15" hidden="false" customHeight="false" outlineLevel="0" collapsed="false"/>
    <row r="4099" customFormat="false" ht="15" hidden="false" customHeight="false" outlineLevel="0" collapsed="false"/>
    <row r="4100" customFormat="false" ht="15" hidden="false" customHeight="false" outlineLevel="0" collapsed="false"/>
    <row r="4101" customFormat="false" ht="15" hidden="false" customHeight="false" outlineLevel="0" collapsed="false"/>
    <row r="4102" customFormat="false" ht="15" hidden="false" customHeight="false" outlineLevel="0" collapsed="false"/>
    <row r="4103" customFormat="false" ht="15" hidden="false" customHeight="false" outlineLevel="0" collapsed="false"/>
    <row r="4104" customFormat="false" ht="15" hidden="false" customHeight="false" outlineLevel="0" collapsed="false"/>
    <row r="4105" customFormat="false" ht="15" hidden="false" customHeight="false" outlineLevel="0" collapsed="false"/>
    <row r="4106" customFormat="false" ht="15" hidden="false" customHeight="false" outlineLevel="0" collapsed="false"/>
    <row r="4107" customFormat="false" ht="15" hidden="false" customHeight="false" outlineLevel="0" collapsed="false"/>
    <row r="4108" customFormat="false" ht="15" hidden="false" customHeight="false" outlineLevel="0" collapsed="false"/>
    <row r="4109" customFormat="false" ht="15" hidden="false" customHeight="false" outlineLevel="0" collapsed="false"/>
    <row r="4110" customFormat="false" ht="15" hidden="false" customHeight="false" outlineLevel="0" collapsed="false"/>
    <row r="4111" customFormat="false" ht="15" hidden="false" customHeight="false" outlineLevel="0" collapsed="false"/>
    <row r="4112" customFormat="false" ht="15" hidden="false" customHeight="false" outlineLevel="0" collapsed="false"/>
    <row r="4113" customFormat="false" ht="15" hidden="false" customHeight="false" outlineLevel="0" collapsed="false"/>
    <row r="4114" customFormat="false" ht="15" hidden="false" customHeight="false" outlineLevel="0" collapsed="false"/>
    <row r="4115" customFormat="false" ht="15" hidden="false" customHeight="false" outlineLevel="0" collapsed="false"/>
    <row r="4116" customFormat="false" ht="15" hidden="false" customHeight="false" outlineLevel="0" collapsed="false"/>
    <row r="4117" customFormat="false" ht="15" hidden="false" customHeight="false" outlineLevel="0" collapsed="false"/>
    <row r="4118" customFormat="false" ht="15" hidden="false" customHeight="false" outlineLevel="0" collapsed="false"/>
    <row r="4119" customFormat="false" ht="15" hidden="false" customHeight="false" outlineLevel="0" collapsed="false"/>
    <row r="4120" customFormat="false" ht="15" hidden="false" customHeight="false" outlineLevel="0" collapsed="false"/>
    <row r="4121" customFormat="false" ht="15" hidden="false" customHeight="false" outlineLevel="0" collapsed="false"/>
    <row r="4122" customFormat="false" ht="15" hidden="false" customHeight="false" outlineLevel="0" collapsed="false"/>
    <row r="4123" customFormat="false" ht="15" hidden="false" customHeight="false" outlineLevel="0" collapsed="false"/>
    <row r="4124" customFormat="false" ht="15" hidden="false" customHeight="false" outlineLevel="0" collapsed="false"/>
    <row r="4125" customFormat="false" ht="15" hidden="false" customHeight="false" outlineLevel="0" collapsed="false"/>
    <row r="4126" customFormat="false" ht="15" hidden="false" customHeight="false" outlineLevel="0" collapsed="false"/>
    <row r="4127" customFormat="false" ht="15" hidden="false" customHeight="fals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4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3359375" defaultRowHeight="12.75" customHeight="true" zeroHeight="false" outlineLevelRow="0" outlineLevelCol="0"/>
  <cols>
    <col collapsed="false" customWidth="true" hidden="false" outlineLevel="0" max="1" min="1" style="1" width="19.33"/>
    <col collapsed="false" customWidth="true" hidden="false" outlineLevel="0" max="3" min="2" style="1" width="11.33"/>
    <col collapsed="false" customWidth="true" hidden="false" outlineLevel="0" max="4" min="4" style="1" width="14.33"/>
    <col collapsed="false" customWidth="true" hidden="false" outlineLevel="0" max="5" min="5" style="1" width="12.5"/>
    <col collapsed="false" customWidth="true" hidden="false" outlineLevel="0" max="6" min="6" style="1" width="11.33"/>
    <col collapsed="false" customWidth="true" hidden="false" outlineLevel="0" max="7" min="7" style="1" width="13.16"/>
    <col collapsed="false" customWidth="true" hidden="false" outlineLevel="0" max="8" min="8" style="1" width="14.52"/>
    <col collapsed="false" customWidth="true" hidden="false" outlineLevel="0" max="10" min="9" style="1" width="15.66"/>
    <col collapsed="false" customWidth="true" hidden="false" outlineLevel="0" max="12" min="11" style="1" width="11.67"/>
    <col collapsed="false" customWidth="true" hidden="false" outlineLevel="0" max="43" min="13" style="1" width="11.33"/>
    <col collapsed="false" customWidth="true" hidden="false" outlineLevel="0" max="299" min="44" style="2" width="8.67"/>
  </cols>
  <sheetData>
    <row r="1" customFormat="false" ht="13.8" hidden="false" customHeight="false" outlineLevel="0" collapsed="false">
      <c r="A1" s="3" t="s">
        <v>66</v>
      </c>
      <c r="B1" s="4" t="n">
        <f aca="false">36000/16.5</f>
        <v>2181.81818181818</v>
      </c>
      <c r="C1" s="4"/>
      <c r="D1" s="4" t="s">
        <v>67</v>
      </c>
      <c r="E1" s="4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customFormat="false" ht="13.8" hidden="false" customHeight="false" outlineLevel="0" collapsed="false">
      <c r="A2" s="5" t="s">
        <v>2</v>
      </c>
      <c r="B2" s="4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customFormat="false" ht="13.8" hidden="false" customHeight="false" outlineLevel="0" collapsed="false">
      <c r="A3" s="6" t="s">
        <v>3</v>
      </c>
      <c r="B3" s="4" t="n">
        <v>8</v>
      </c>
      <c r="C3" s="4"/>
      <c r="D3" s="4"/>
      <c r="E3" s="4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customFormat="false" ht="13.8" hidden="false" customHeight="false" outlineLevel="0" collapsed="false">
      <c r="A4" s="4" t="s">
        <v>4</v>
      </c>
      <c r="B4" s="4" t="n">
        <v>35</v>
      </c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customFormat="false" ht="13.8" hidden="false" customHeight="false" outlineLevel="0" collapsed="false">
      <c r="A5" s="4" t="s">
        <v>6</v>
      </c>
      <c r="B5" s="4" t="n">
        <v>0</v>
      </c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customFormat="false" ht="13.8" hidden="false" customHeight="false" outlineLevel="0" collapsed="false">
      <c r="A6" s="4"/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customFormat="false" ht="13.8" hidden="false" customHeight="false" outlineLevel="0" collapsed="false">
      <c r="A7" s="4"/>
      <c r="B7" s="4"/>
      <c r="C7" s="4"/>
      <c r="D7" s="4"/>
      <c r="E7" s="4"/>
      <c r="F7" s="4"/>
      <c r="G7" s="2"/>
      <c r="H7" s="2"/>
      <c r="I7" s="2"/>
      <c r="J7" s="2"/>
      <c r="K7" s="7" t="s">
        <v>7</v>
      </c>
      <c r="L7" s="2"/>
      <c r="M7" s="2"/>
      <c r="N7" s="8" t="s">
        <v>8</v>
      </c>
      <c r="O7" s="9" t="s">
        <v>9</v>
      </c>
      <c r="P7" s="2"/>
      <c r="Q7" s="8" t="s">
        <v>10</v>
      </c>
      <c r="R7" s="9" t="s">
        <v>11</v>
      </c>
      <c r="S7" s="2"/>
      <c r="T7" s="8" t="s">
        <v>12</v>
      </c>
      <c r="U7" s="9" t="s">
        <v>13</v>
      </c>
      <c r="V7" s="2"/>
      <c r="W7" s="8" t="s">
        <v>18</v>
      </c>
      <c r="X7" s="9" t="s">
        <v>19</v>
      </c>
      <c r="Y7" s="2"/>
      <c r="Z7" s="8" t="s">
        <v>14</v>
      </c>
      <c r="AA7" s="9" t="s">
        <v>15</v>
      </c>
      <c r="AB7" s="2"/>
      <c r="AC7" s="8" t="s">
        <v>16</v>
      </c>
      <c r="AD7" s="9" t="s">
        <v>17</v>
      </c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customFormat="false" ht="13.8" hidden="false" customHeight="false" outlineLevel="0" collapsed="false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68</v>
      </c>
      <c r="I8" s="3" t="s">
        <v>29</v>
      </c>
      <c r="J8" s="3" t="s">
        <v>30</v>
      </c>
      <c r="K8" s="7" t="s">
        <v>31</v>
      </c>
      <c r="L8" s="7" t="s">
        <v>32</v>
      </c>
      <c r="M8" s="2" t="s">
        <v>33</v>
      </c>
      <c r="N8" s="2" t="s">
        <v>34</v>
      </c>
      <c r="O8" s="10" t="s">
        <v>35</v>
      </c>
      <c r="P8" s="7" t="s">
        <v>36</v>
      </c>
      <c r="Q8" s="7" t="s">
        <v>37</v>
      </c>
      <c r="R8" s="11" t="s">
        <v>38</v>
      </c>
      <c r="S8" s="2"/>
      <c r="T8" s="10" t="s">
        <v>35</v>
      </c>
      <c r="U8" s="7" t="s">
        <v>36</v>
      </c>
      <c r="V8" s="7" t="s">
        <v>37</v>
      </c>
      <c r="W8" s="11" t="s">
        <v>38</v>
      </c>
      <c r="X8" s="2"/>
      <c r="Y8" s="10" t="s">
        <v>35</v>
      </c>
      <c r="Z8" s="7" t="s">
        <v>36</v>
      </c>
      <c r="AA8" s="7" t="s">
        <v>37</v>
      </c>
      <c r="AB8" s="11" t="s">
        <v>38</v>
      </c>
      <c r="AC8" s="2"/>
      <c r="AD8" s="10" t="s">
        <v>35</v>
      </c>
      <c r="AE8" s="7" t="s">
        <v>36</v>
      </c>
      <c r="AF8" s="7" t="s">
        <v>37</v>
      </c>
      <c r="AG8" s="11" t="s">
        <v>38</v>
      </c>
      <c r="AH8" s="2"/>
      <c r="AI8" s="10" t="s">
        <v>35</v>
      </c>
      <c r="AJ8" s="7" t="s">
        <v>36</v>
      </c>
      <c r="AK8" s="7" t="s">
        <v>37</v>
      </c>
      <c r="AL8" s="11" t="s">
        <v>38</v>
      </c>
      <c r="AM8" s="2"/>
      <c r="AN8" s="10" t="s">
        <v>35</v>
      </c>
      <c r="AO8" s="7" t="s">
        <v>36</v>
      </c>
      <c r="AP8" s="7" t="s">
        <v>37</v>
      </c>
      <c r="AQ8" s="11" t="s">
        <v>38</v>
      </c>
    </row>
    <row r="9" customFormat="false" ht="13.8" hidden="false" customHeight="false" outlineLevel="0" collapsed="false">
      <c r="A9" s="12" t="s">
        <v>69</v>
      </c>
      <c r="B9" s="13" t="n">
        <v>13</v>
      </c>
      <c r="C9" s="13" t="n">
        <v>20</v>
      </c>
      <c r="D9" s="14" t="n">
        <f aca="false">B9*C9/100</f>
        <v>2.6</v>
      </c>
      <c r="E9" s="42" t="n">
        <f aca="false">$B$1*C9/100</f>
        <v>436.363636363636</v>
      </c>
      <c r="F9" s="42" t="n">
        <v>0</v>
      </c>
      <c r="G9" s="42" t="n">
        <f aca="false">E9-F9</f>
        <v>436.363636363636</v>
      </c>
      <c r="H9" s="42" t="n">
        <f aca="false">G9/($B$4)</f>
        <v>12.4675324675325</v>
      </c>
      <c r="I9" s="42" t="n">
        <f aca="false">G9/($B$3)</f>
        <v>54.5454545454546</v>
      </c>
      <c r="J9" s="42" t="n">
        <f aca="false">F9+H9*$B$5</f>
        <v>0</v>
      </c>
      <c r="K9" s="43" t="n">
        <f aca="false">H9*(1+B9/100/52)^(52-$B$4)*( ( (1+B9/100/52)^$B$4-1) / (B9/100/52) ) + F9*(1+B9/100/52)^(52)</f>
        <v>475.177199262308</v>
      </c>
      <c r="L9" s="43" t="n">
        <f aca="false">I9*(1+B9/100/12)^(12-$B$3)*(((1+B9/100/12)^$B$3-1)/(B9/100/12)) + F9*(1+B9/100/12)^(12)</f>
        <v>473.235770477701</v>
      </c>
      <c r="M9" s="2" t="n">
        <v>0</v>
      </c>
      <c r="N9" s="16" t="n">
        <f aca="false">M9*H9</f>
        <v>0</v>
      </c>
      <c r="O9" s="17" t="n">
        <v>50</v>
      </c>
      <c r="P9" s="13" t="n">
        <f aca="false">C9*O9/100</f>
        <v>10</v>
      </c>
      <c r="Q9" s="16" t="n">
        <f aca="false">J9*O9/100</f>
        <v>0</v>
      </c>
      <c r="R9" s="18" t="n">
        <f aca="false">$E9*O9/100</f>
        <v>218.181818181818</v>
      </c>
      <c r="S9" s="2"/>
      <c r="T9" s="17" t="n">
        <v>0</v>
      </c>
      <c r="U9" s="13" t="n">
        <f aca="false">C9*T9/100</f>
        <v>0</v>
      </c>
      <c r="V9" s="16" t="n">
        <f aca="false">J9*T9/100</f>
        <v>0</v>
      </c>
      <c r="W9" s="18" t="n">
        <f aca="false">$E9*T9/100</f>
        <v>0</v>
      </c>
      <c r="X9" s="2"/>
      <c r="Y9" s="17" t="n">
        <v>0</v>
      </c>
      <c r="Z9" s="13" t="n">
        <f aca="false">C9*Y9/100</f>
        <v>0</v>
      </c>
      <c r="AA9" s="16" t="n">
        <f aca="false">J9*Y9/100</f>
        <v>0</v>
      </c>
      <c r="AB9" s="18" t="n">
        <f aca="false">$E9*Y9/100</f>
        <v>0</v>
      </c>
      <c r="AC9" s="2"/>
      <c r="AD9" s="19" t="n">
        <v>20</v>
      </c>
      <c r="AE9" s="13" t="n">
        <f aca="false">$C9*AD9/100</f>
        <v>4</v>
      </c>
      <c r="AF9" s="16" t="n">
        <f aca="false">$J9*AD9/100</f>
        <v>0</v>
      </c>
      <c r="AG9" s="18" t="n">
        <f aca="false">$E9*AD9/100</f>
        <v>87.2727272727273</v>
      </c>
      <c r="AH9" s="2"/>
      <c r="AI9" s="19" t="n">
        <v>6.7</v>
      </c>
      <c r="AJ9" s="13" t="n">
        <f aca="false">$C9*AI9/100</f>
        <v>1.34</v>
      </c>
      <c r="AK9" s="16" t="n">
        <f aca="false">$J9*AI9/100</f>
        <v>0</v>
      </c>
      <c r="AL9" s="18" t="n">
        <f aca="false">$E9*AI9/100</f>
        <v>29.2363636363636</v>
      </c>
      <c r="AM9" s="2"/>
      <c r="AN9" s="19" t="n">
        <v>0</v>
      </c>
      <c r="AO9" s="13" t="n">
        <f aca="false">$C9*AN9/100</f>
        <v>0</v>
      </c>
      <c r="AP9" s="16" t="n">
        <f aca="false">$J9*AN9/100</f>
        <v>0</v>
      </c>
      <c r="AQ9" s="18" t="n">
        <f aca="false">$E9*AN9/100</f>
        <v>0</v>
      </c>
    </row>
    <row r="10" customFormat="false" ht="13.8" hidden="false" customHeight="false" outlineLevel="0" collapsed="false">
      <c r="A10" s="12" t="s">
        <v>70</v>
      </c>
      <c r="B10" s="13" t="n">
        <v>16</v>
      </c>
      <c r="C10" s="13" t="n">
        <v>16</v>
      </c>
      <c r="D10" s="14" t="n">
        <f aca="false">B10*C10/100</f>
        <v>2.56</v>
      </c>
      <c r="E10" s="42" t="n">
        <f aca="false">$B$1*C10/100</f>
        <v>349.090909090909</v>
      </c>
      <c r="F10" s="42" t="n">
        <v>0</v>
      </c>
      <c r="G10" s="42" t="n">
        <f aca="false">E10-F10</f>
        <v>349.090909090909</v>
      </c>
      <c r="H10" s="42" t="n">
        <f aca="false">G10/($B$4)</f>
        <v>9.97402597402598</v>
      </c>
      <c r="I10" s="42" t="n">
        <f aca="false">G10/($B$3)</f>
        <v>43.6363636363636</v>
      </c>
      <c r="J10" s="42" t="n">
        <f aca="false">F10+H10*$B$5</f>
        <v>0</v>
      </c>
      <c r="K10" s="43" t="n">
        <f aca="false">H10*(1+B10/100/52)^(52-$B$4)*( ( (1+B10/100/52)^$B$4-1) / (B10/100/52) ) + F10*(1+B10/100/52)^(52)</f>
        <v>387.714193068207</v>
      </c>
      <c r="L10" s="43" t="n">
        <f aca="false">I10*(1+B10/100/12)^(12-$B$3)*(((1+B10/100/12)^$B$3-1)/(B10/100/12)) + F10*(1+B10/100/12)^(12)</f>
        <v>385.727842382585</v>
      </c>
      <c r="M10" s="2" t="n">
        <v>0</v>
      </c>
      <c r="N10" s="16" t="n">
        <f aca="false">M10*H10</f>
        <v>0</v>
      </c>
      <c r="O10" s="17" t="n">
        <v>30</v>
      </c>
      <c r="P10" s="13" t="n">
        <f aca="false">C10*O10/100</f>
        <v>4.8</v>
      </c>
      <c r="Q10" s="16" t="n">
        <f aca="false">J10*O10/100</f>
        <v>0</v>
      </c>
      <c r="R10" s="18" t="n">
        <f aca="false">$E10*O10/100</f>
        <v>104.727272727273</v>
      </c>
      <c r="S10" s="2"/>
      <c r="T10" s="17" t="n">
        <v>2.9</v>
      </c>
      <c r="U10" s="13" t="n">
        <f aca="false">C10*T10/100</f>
        <v>0.464</v>
      </c>
      <c r="V10" s="20" t="n">
        <f aca="false">J10*T10/100</f>
        <v>0</v>
      </c>
      <c r="W10" s="21" t="n">
        <f aca="false">$E10*T10/100</f>
        <v>10.1236363636364</v>
      </c>
      <c r="X10" s="2"/>
      <c r="Y10" s="17" t="n">
        <v>0.1</v>
      </c>
      <c r="Z10" s="13" t="n">
        <f aca="false">C10*Y10/100</f>
        <v>0.016</v>
      </c>
      <c r="AA10" s="20" t="n">
        <f aca="false">J10*Y10/100</f>
        <v>0</v>
      </c>
      <c r="AB10" s="21" t="n">
        <f aca="false">$E10*Y10/100</f>
        <v>0.349090909090909</v>
      </c>
      <c r="AC10" s="2"/>
      <c r="AD10" s="19" t="n">
        <v>0</v>
      </c>
      <c r="AE10" s="13" t="n">
        <f aca="false">$C10*AD10/100</f>
        <v>0</v>
      </c>
      <c r="AF10" s="20" t="n">
        <f aca="false">$J10*AD10/100</f>
        <v>0</v>
      </c>
      <c r="AG10" s="21" t="n">
        <f aca="false">$E10*AD10/100</f>
        <v>0</v>
      </c>
      <c r="AH10" s="2"/>
      <c r="AI10" s="19" t="n">
        <v>14.6</v>
      </c>
      <c r="AJ10" s="13" t="n">
        <f aca="false">$C10*AI10/100</f>
        <v>2.336</v>
      </c>
      <c r="AK10" s="22" t="n">
        <f aca="false">$J10*AI10/100</f>
        <v>0</v>
      </c>
      <c r="AL10" s="23" t="n">
        <f aca="false">$E10*AI10/100</f>
        <v>50.9672727272727</v>
      </c>
      <c r="AM10" s="2"/>
      <c r="AN10" s="19" t="n">
        <v>12.7</v>
      </c>
      <c r="AO10" s="13" t="n">
        <f aca="false">$C10*AN10/100</f>
        <v>2.032</v>
      </c>
      <c r="AP10" s="22" t="n">
        <f aca="false">$J10*AN10/100</f>
        <v>0</v>
      </c>
      <c r="AQ10" s="23" t="n">
        <f aca="false">$E10*AN10/100</f>
        <v>44.3345454545455</v>
      </c>
    </row>
    <row r="11" customFormat="false" ht="13.8" hidden="false" customHeight="false" outlineLevel="0" collapsed="false">
      <c r="A11" s="12" t="s">
        <v>71</v>
      </c>
      <c r="B11" s="13" t="n">
        <v>12</v>
      </c>
      <c r="C11" s="13" t="n">
        <v>15</v>
      </c>
      <c r="D11" s="14" t="n">
        <f aca="false">B11*C11/100</f>
        <v>1.8</v>
      </c>
      <c r="E11" s="42" t="n">
        <f aca="false">$B$1*C11/100</f>
        <v>327.272727272727</v>
      </c>
      <c r="F11" s="42" t="n">
        <v>0</v>
      </c>
      <c r="G11" s="42" t="n">
        <f aca="false">E11-F11</f>
        <v>327.272727272727</v>
      </c>
      <c r="H11" s="42" t="n">
        <f aca="false">G11/($B$4)</f>
        <v>9.35064935064935</v>
      </c>
      <c r="I11" s="42" t="n">
        <f aca="false">G11/($B$3)</f>
        <v>40.9090909090909</v>
      </c>
      <c r="J11" s="42" t="n">
        <f aca="false">F11+H11*$B$5</f>
        <v>0</v>
      </c>
      <c r="K11" s="43" t="n">
        <f aca="false">H11*(1+B11/100/52)^(52-$B$4)*( ( (1+B11/100/52)^$B$4-1) / (B11/100/52) ) + F11*(1+B11/100/52)^(52)</f>
        <v>354.049223919788</v>
      </c>
      <c r="L11" s="43" t="n">
        <f aca="false">I11*(1+B11/100/12)^(12-$B$3)*(((1+B11/100/12)^$B$3-1)/(B11/100/12)) + F11*(1+B11/100/12)^(12)</f>
        <v>352.722355085331</v>
      </c>
      <c r="M11" s="2" t="n">
        <v>0</v>
      </c>
      <c r="N11" s="16" t="n">
        <f aca="false">M11*H11</f>
        <v>0</v>
      </c>
      <c r="O11" s="17" t="n">
        <v>100</v>
      </c>
      <c r="P11" s="13" t="n">
        <f aca="false">C11*O11/100</f>
        <v>15</v>
      </c>
      <c r="Q11" s="16" t="n">
        <f aca="false">J11*O11/100</f>
        <v>0</v>
      </c>
      <c r="R11" s="18" t="n">
        <f aca="false">$E11*O11/100</f>
        <v>327.272727272727</v>
      </c>
      <c r="S11" s="2"/>
      <c r="T11" s="17" t="n">
        <v>0</v>
      </c>
      <c r="U11" s="13" t="n">
        <f aca="false">C11*T11/100</f>
        <v>0</v>
      </c>
      <c r="V11" s="16" t="n">
        <f aca="false">J11*T11/100</f>
        <v>0</v>
      </c>
      <c r="W11" s="18" t="n">
        <f aca="false">$E11*T11/100</f>
        <v>0</v>
      </c>
      <c r="X11" s="2"/>
      <c r="Y11" s="17" t="n">
        <v>0</v>
      </c>
      <c r="Z11" s="13" t="n">
        <f aca="false">C11*Y11/100</f>
        <v>0</v>
      </c>
      <c r="AA11" s="16" t="n">
        <f aca="false">J11*Y11/100</f>
        <v>0</v>
      </c>
      <c r="AB11" s="18" t="n">
        <f aca="false">$E11*Y11/100</f>
        <v>0</v>
      </c>
      <c r="AC11" s="2"/>
      <c r="AD11" s="19" t="n">
        <v>0</v>
      </c>
      <c r="AE11" s="13" t="n">
        <f aca="false">$C11*AD11/100</f>
        <v>0</v>
      </c>
      <c r="AF11" s="16" t="n">
        <f aca="false">$J11*AD11/100</f>
        <v>0</v>
      </c>
      <c r="AG11" s="18" t="n">
        <f aca="false">$E11*AD11/100</f>
        <v>0</v>
      </c>
      <c r="AH11" s="2"/>
      <c r="AI11" s="19" t="n">
        <v>0</v>
      </c>
      <c r="AJ11" s="13" t="n">
        <f aca="false">$C11*AI11/100</f>
        <v>0</v>
      </c>
      <c r="AK11" s="16" t="n">
        <f aca="false">$J11*AI11/100</f>
        <v>0</v>
      </c>
      <c r="AL11" s="18" t="n">
        <f aca="false">$E11*AI11/100</f>
        <v>0</v>
      </c>
      <c r="AM11" s="2"/>
      <c r="AN11" s="19" t="n">
        <v>0</v>
      </c>
      <c r="AO11" s="13" t="n">
        <f aca="false">$C11*AN11/100</f>
        <v>0</v>
      </c>
      <c r="AP11" s="16" t="n">
        <f aca="false">$J11*AN11/100</f>
        <v>0</v>
      </c>
      <c r="AQ11" s="18" t="n">
        <f aca="false">$E11*AN11/100</f>
        <v>0</v>
      </c>
    </row>
    <row r="12" customFormat="false" ht="13.8" hidden="false" customHeight="false" outlineLevel="0" collapsed="false">
      <c r="A12" s="12" t="s">
        <v>72</v>
      </c>
      <c r="B12" s="13" t="n">
        <v>5.6</v>
      </c>
      <c r="C12" s="13" t="n">
        <v>10</v>
      </c>
      <c r="D12" s="14" t="n">
        <f aca="false">B12*C12/100</f>
        <v>0.56</v>
      </c>
      <c r="E12" s="42" t="n">
        <f aca="false">$B$1*C12/100</f>
        <v>218.181818181818</v>
      </c>
      <c r="F12" s="42" t="n">
        <v>0</v>
      </c>
      <c r="G12" s="42" t="n">
        <f aca="false">E12-F12</f>
        <v>218.181818181818</v>
      </c>
      <c r="H12" s="42" t="n">
        <f aca="false">G12/($B$4)</f>
        <v>6.23376623376623</v>
      </c>
      <c r="I12" s="42" t="n">
        <f aca="false">G12/($B$3)</f>
        <v>27.2727272727273</v>
      </c>
      <c r="J12" s="42" t="n">
        <f aca="false">F12+H12*$B$5</f>
        <v>0</v>
      </c>
      <c r="K12" s="43" t="n">
        <f aca="false">H12*(1+B12/100/52)^(52-$B$4)*( ( (1+B12/100/52)^$B$4-1) / (B12/100/52) ) + F12*(1+B12/100/52)^(52)</f>
        <v>226.327600614459</v>
      </c>
      <c r="L12" s="43" t="n">
        <f aca="false">I12*(1+B12/100/12)^(12-$B$3)*(((1+B12/100/12)^$B$3-1)/(B12/100/12)) + F12*(1+B12/100/12)^(12)</f>
        <v>225.947852255816</v>
      </c>
      <c r="M12" s="2" t="n">
        <v>0</v>
      </c>
      <c r="N12" s="16" t="n">
        <f aca="false">M12*H12</f>
        <v>0</v>
      </c>
      <c r="O12" s="17" t="n">
        <v>24</v>
      </c>
      <c r="P12" s="13" t="n">
        <f aca="false">C12*O12/100</f>
        <v>2.4</v>
      </c>
      <c r="Q12" s="16" t="n">
        <f aca="false">J12*O12/100</f>
        <v>0</v>
      </c>
      <c r="R12" s="18" t="n">
        <f aca="false">$E12*O12/100</f>
        <v>52.3636363636364</v>
      </c>
      <c r="S12" s="2"/>
      <c r="T12" s="17" t="n">
        <v>2.3</v>
      </c>
      <c r="U12" s="13" t="n">
        <f aca="false">C12*T12/100</f>
        <v>0.23</v>
      </c>
      <c r="V12" s="16" t="n">
        <f aca="false">J12*T12/100</f>
        <v>0</v>
      </c>
      <c r="W12" s="18" t="n">
        <f aca="false">$E12*T12/100</f>
        <v>5.01818181818182</v>
      </c>
      <c r="X12" s="2"/>
      <c r="Y12" s="17" t="n">
        <v>0.1</v>
      </c>
      <c r="Z12" s="13" t="n">
        <f aca="false">C12*Y12/100</f>
        <v>0.01</v>
      </c>
      <c r="AA12" s="16" t="n">
        <f aca="false">J12*Y12/100</f>
        <v>0</v>
      </c>
      <c r="AB12" s="18" t="n">
        <f aca="false">$E12*Y12/100</f>
        <v>0.218181818181818</v>
      </c>
      <c r="AC12" s="2"/>
      <c r="AD12" s="19" t="n">
        <v>9</v>
      </c>
      <c r="AE12" s="13" t="n">
        <f aca="false">$C12*AD12/100</f>
        <v>0.9</v>
      </c>
      <c r="AF12" s="16" t="n">
        <f aca="false">$J12*AD12/100</f>
        <v>0</v>
      </c>
      <c r="AG12" s="18" t="n">
        <f aca="false">$E12*AD12/100</f>
        <v>19.6363636363636</v>
      </c>
      <c r="AH12" s="2"/>
      <c r="AI12" s="19" t="n">
        <v>12</v>
      </c>
      <c r="AJ12" s="13" t="n">
        <f aca="false">$C12*AI12/100</f>
        <v>1.2</v>
      </c>
      <c r="AK12" s="16" t="n">
        <f aca="false">$J12*AI12/100</f>
        <v>0</v>
      </c>
      <c r="AL12" s="18" t="n">
        <f aca="false">$E12*AI12/100</f>
        <v>26.1818181818182</v>
      </c>
      <c r="AM12" s="2"/>
      <c r="AN12" s="19" t="n">
        <v>13.2</v>
      </c>
      <c r="AO12" s="13" t="n">
        <f aca="false">$C12*AN12/100</f>
        <v>1.32</v>
      </c>
      <c r="AP12" s="16" t="n">
        <f aca="false">$J12*AN12/100</f>
        <v>0</v>
      </c>
      <c r="AQ12" s="18" t="n">
        <f aca="false">$E12*AN12/100</f>
        <v>28.8</v>
      </c>
    </row>
    <row r="13" customFormat="false" ht="13.8" hidden="false" customHeight="false" outlineLevel="0" collapsed="false">
      <c r="A13" s="12" t="s">
        <v>73</v>
      </c>
      <c r="B13" s="13" t="n">
        <v>5.5</v>
      </c>
      <c r="C13" s="13" t="n">
        <v>10</v>
      </c>
      <c r="D13" s="14" t="n">
        <f aca="false">B13*C13/100</f>
        <v>0.55</v>
      </c>
      <c r="E13" s="42" t="n">
        <f aca="false">$B$1*C13/100</f>
        <v>218.181818181818</v>
      </c>
      <c r="F13" s="42" t="n">
        <v>0</v>
      </c>
      <c r="G13" s="42" t="n">
        <f aca="false">E13-F13</f>
        <v>218.181818181818</v>
      </c>
      <c r="H13" s="42" t="n">
        <f aca="false">G13/($B$4)</f>
        <v>6.23376623376623</v>
      </c>
      <c r="I13" s="42" t="n">
        <f aca="false">G13/($B$3)</f>
        <v>27.2727272727273</v>
      </c>
      <c r="J13" s="42" t="n">
        <f aca="false">F13+H13*$B$5</f>
        <v>0</v>
      </c>
      <c r="K13" s="43" t="n">
        <f aca="false">H13*(1+B13/100/52)^(52-$B$4)*( ( (1+B13/100/52)^$B$4-1) / (B13/100/52) ) + F13*(1+B13/100/52)^(52)</f>
        <v>226.179350470791</v>
      </c>
      <c r="L13" s="43" t="n">
        <f aca="false">I13*(1+B13/100/12)^(12-$B$3)*(((1+B13/100/12)^$B$3-1)/(B13/100/12)) + F13*(1+B13/100/12)^(12)</f>
        <v>225.806874943712</v>
      </c>
      <c r="M13" s="2" t="n">
        <v>0</v>
      </c>
      <c r="N13" s="16" t="n">
        <f aca="false">M13*H13</f>
        <v>0</v>
      </c>
      <c r="O13" s="17" t="n">
        <v>22.5</v>
      </c>
      <c r="P13" s="13" t="n">
        <f aca="false">C13*O13/100</f>
        <v>2.25</v>
      </c>
      <c r="Q13" s="16" t="n">
        <f aca="false">J13*O13/100</f>
        <v>0</v>
      </c>
      <c r="R13" s="18" t="n">
        <f aca="false">$E13*O13/100</f>
        <v>49.0909090909091</v>
      </c>
      <c r="S13" s="2"/>
      <c r="T13" s="17" t="n">
        <v>2.71</v>
      </c>
      <c r="U13" s="13" t="n">
        <f aca="false">C13*T13/100</f>
        <v>0.271</v>
      </c>
      <c r="V13" s="16" t="n">
        <f aca="false">J13*T13/100</f>
        <v>0</v>
      </c>
      <c r="W13" s="18" t="n">
        <f aca="false">$E13*T13/100</f>
        <v>5.91272727272727</v>
      </c>
      <c r="X13" s="2"/>
      <c r="Y13" s="17" t="n">
        <v>0</v>
      </c>
      <c r="Z13" s="13" t="n">
        <f aca="false">C13*Y13/100</f>
        <v>0</v>
      </c>
      <c r="AA13" s="16" t="n">
        <f aca="false">J13*Y13/100</f>
        <v>0</v>
      </c>
      <c r="AB13" s="18" t="n">
        <f aca="false">$E13*Y13/100</f>
        <v>0</v>
      </c>
      <c r="AC13" s="2"/>
      <c r="AD13" s="19" t="n">
        <v>8</v>
      </c>
      <c r="AE13" s="13" t="n">
        <f aca="false">$C13*AD13/100</f>
        <v>0.8</v>
      </c>
      <c r="AF13" s="16" t="n">
        <f aca="false">$J13*AD13/100</f>
        <v>0</v>
      </c>
      <c r="AG13" s="18" t="n">
        <f aca="false">$E13*AD13/100</f>
        <v>17.4545454545455</v>
      </c>
      <c r="AH13" s="2"/>
      <c r="AI13" s="19" t="n">
        <v>12.61</v>
      </c>
      <c r="AJ13" s="13" t="n">
        <f aca="false">$C13*AI13/100</f>
        <v>1.261</v>
      </c>
      <c r="AK13" s="16" t="n">
        <f aca="false">$J13*AI13/100</f>
        <v>0</v>
      </c>
      <c r="AL13" s="18" t="n">
        <f aca="false">$E13*AI13/100</f>
        <v>27.5127272727273</v>
      </c>
      <c r="AM13" s="2"/>
      <c r="AN13" s="19" t="n">
        <v>14</v>
      </c>
      <c r="AO13" s="13" t="n">
        <f aca="false">$C13*AN13/100</f>
        <v>1.4</v>
      </c>
      <c r="AP13" s="16" t="n">
        <f aca="false">$J13*AN13/100</f>
        <v>0</v>
      </c>
      <c r="AQ13" s="18" t="n">
        <f aca="false">$E13*AN13/100</f>
        <v>30.5454545454545</v>
      </c>
    </row>
    <row r="14" customFormat="false" ht="13.8" hidden="false" customHeight="false" outlineLevel="0" collapsed="false">
      <c r="A14" s="12" t="s">
        <v>74</v>
      </c>
      <c r="B14" s="13" t="n">
        <v>-5</v>
      </c>
      <c r="C14" s="13" t="n">
        <v>5</v>
      </c>
      <c r="D14" s="14" t="n">
        <f aca="false">B14*C14/100</f>
        <v>-0.25</v>
      </c>
      <c r="E14" s="42" t="n">
        <f aca="false">$B$1*C14/100</f>
        <v>109.090909090909</v>
      </c>
      <c r="F14" s="42" t="n">
        <v>0</v>
      </c>
      <c r="G14" s="42" t="n">
        <f aca="false">E14-F14</f>
        <v>109.090909090909</v>
      </c>
      <c r="H14" s="42" t="n">
        <f aca="false">G14/($B$4)</f>
        <v>3.11688311688312</v>
      </c>
      <c r="I14" s="42" t="n">
        <f aca="false">G14/($B$3)</f>
        <v>13.6363636363636</v>
      </c>
      <c r="J14" s="42" t="n">
        <f aca="false">F14+H14*$B$5</f>
        <v>0</v>
      </c>
      <c r="K14" s="43" t="n">
        <f aca="false">H14*(1+B14/100/52)^(52-$B$4)*( ( (1+B14/100/52)^$B$4-1) / (B14/100/52) ) + F14*(1+B14/100/52)^(52)</f>
        <v>105.585465558915</v>
      </c>
      <c r="L14" s="43" t="n">
        <f aca="false">I14*(1+B14/100/12)^(12-$B$3)*(((1+B14/100/12)^$B$3-1)/(B14/100/12)) + F14*(1+B14/100/12)^(12)</f>
        <v>105.732470490072</v>
      </c>
      <c r="M14" s="2" t="n">
        <v>0</v>
      </c>
      <c r="N14" s="16" t="n">
        <f aca="false">M14*H14</f>
        <v>0</v>
      </c>
      <c r="O14" s="17" t="n">
        <v>15.1</v>
      </c>
      <c r="P14" s="13" t="n">
        <f aca="false">C14*O14/100</f>
        <v>0.755</v>
      </c>
      <c r="Q14" s="16" t="n">
        <f aca="false">J14*O14/100</f>
        <v>0</v>
      </c>
      <c r="R14" s="18" t="n">
        <f aca="false">$E14*O14/100</f>
        <v>16.4727272727273</v>
      </c>
      <c r="S14" s="2"/>
      <c r="T14" s="17" t="n">
        <v>0</v>
      </c>
      <c r="U14" s="13" t="n">
        <f aca="false">C14*T14/100</f>
        <v>0</v>
      </c>
      <c r="V14" s="16" t="n">
        <f aca="false">J14*T14/100</f>
        <v>0</v>
      </c>
      <c r="W14" s="18" t="n">
        <f aca="false">$E14*T14/100</f>
        <v>0</v>
      </c>
      <c r="X14" s="2"/>
      <c r="Y14" s="17" t="n">
        <v>0</v>
      </c>
      <c r="Z14" s="13" t="n">
        <f aca="false">C14*Y14/100</f>
        <v>0</v>
      </c>
      <c r="AA14" s="16" t="n">
        <f aca="false">J14*Y14/100</f>
        <v>0</v>
      </c>
      <c r="AB14" s="18" t="n">
        <f aca="false">$E14*Y14/100</f>
        <v>0</v>
      </c>
      <c r="AC14" s="2"/>
      <c r="AD14" s="19" t="n">
        <v>0</v>
      </c>
      <c r="AE14" s="13" t="n">
        <f aca="false">$C14*AD14/100</f>
        <v>0</v>
      </c>
      <c r="AF14" s="16" t="n">
        <f aca="false">$J14*AD14/100</f>
        <v>0</v>
      </c>
      <c r="AG14" s="18" t="n">
        <f aca="false">$E14*AD14/100</f>
        <v>0</v>
      </c>
      <c r="AH14" s="2"/>
      <c r="AI14" s="19" t="n">
        <v>7.9</v>
      </c>
      <c r="AJ14" s="13" t="n">
        <f aca="false">$C14*AI14/100</f>
        <v>0.395</v>
      </c>
      <c r="AK14" s="16" t="n">
        <f aca="false">$J14*AI14/100</f>
        <v>0</v>
      </c>
      <c r="AL14" s="18" t="n">
        <f aca="false">$E14*AI14/100</f>
        <v>8.61818181818182</v>
      </c>
      <c r="AM14" s="2"/>
      <c r="AN14" s="19" t="n">
        <v>5.7</v>
      </c>
      <c r="AO14" s="13" t="n">
        <f aca="false">$C14*AN14/100</f>
        <v>0.285</v>
      </c>
      <c r="AP14" s="16" t="n">
        <f aca="false">$J14*AN14/100</f>
        <v>0</v>
      </c>
      <c r="AQ14" s="18" t="n">
        <f aca="false">$E14*AN14/100</f>
        <v>6.21818181818182</v>
      </c>
    </row>
    <row r="15" customFormat="false" ht="13.8" hidden="false" customHeight="false" outlineLevel="0" collapsed="false">
      <c r="A15" s="12" t="s">
        <v>75</v>
      </c>
      <c r="B15" s="13" t="n">
        <v>11</v>
      </c>
      <c r="C15" s="13" t="n">
        <v>6</v>
      </c>
      <c r="D15" s="14" t="n">
        <f aca="false">B15*C15/100</f>
        <v>0.66</v>
      </c>
      <c r="E15" s="42" t="n">
        <f aca="false">$B$1*C15/100</f>
        <v>130.909090909091</v>
      </c>
      <c r="F15" s="42" t="n">
        <v>0</v>
      </c>
      <c r="G15" s="42" t="n">
        <f aca="false">E15-F15</f>
        <v>130.909090909091</v>
      </c>
      <c r="H15" s="42" t="n">
        <f aca="false">G15/($B$4)</f>
        <v>3.74025974025974</v>
      </c>
      <c r="I15" s="42" t="n">
        <f aca="false">G15/($B$3)</f>
        <v>16.3636363636364</v>
      </c>
      <c r="J15" s="42" t="n">
        <f aca="false">F15+H15*$B$5</f>
        <v>0</v>
      </c>
      <c r="K15" s="43" t="n">
        <f aca="false">H15*(1+B15/100/52)^(52-$B$4)*( ( (1+B15/100/52)^$B$4-1) / (B15/100/52) ) + F15*(1+B15/100/52)^(52)</f>
        <v>140.692682725807</v>
      </c>
      <c r="L15" s="43" t="n">
        <f aca="false">I15*(1+B15/100/12)^(12-$B$3)*(((1+B15/100/12)^$B$3-1)/(B15/100/12)) + F15*(1+B15/100/12)^(12)</f>
        <v>140.212409860018</v>
      </c>
      <c r="M15" s="2" t="n">
        <v>0</v>
      </c>
      <c r="N15" s="16" t="n">
        <f aca="false">M15*H15</f>
        <v>0</v>
      </c>
      <c r="O15" s="17" t="n">
        <v>13.9</v>
      </c>
      <c r="P15" s="13" t="n">
        <f aca="false">C15*O15/100</f>
        <v>0.834</v>
      </c>
      <c r="Q15" s="16" t="n">
        <f aca="false">J15*O15/100</f>
        <v>0</v>
      </c>
      <c r="R15" s="18" t="n">
        <f aca="false">$E15*O15/100</f>
        <v>18.1963636363636</v>
      </c>
      <c r="S15" s="2"/>
      <c r="T15" s="17" t="n">
        <v>3.44</v>
      </c>
      <c r="U15" s="13" t="n">
        <f aca="false">C15*T15/100</f>
        <v>0.2064</v>
      </c>
      <c r="V15" s="16" t="n">
        <f aca="false">J15*T15/100</f>
        <v>0</v>
      </c>
      <c r="W15" s="18" t="n">
        <f aca="false">$E15*T15/100</f>
        <v>4.50327272727273</v>
      </c>
      <c r="X15" s="2"/>
      <c r="Y15" s="17" t="n">
        <v>0</v>
      </c>
      <c r="Z15" s="13" t="n">
        <f aca="false">C15*Y15/100</f>
        <v>0</v>
      </c>
      <c r="AA15" s="16" t="n">
        <f aca="false">J15*Y15/100</f>
        <v>0</v>
      </c>
      <c r="AB15" s="18" t="n">
        <f aca="false">$E15*Y15/100</f>
        <v>0</v>
      </c>
      <c r="AC15" s="2"/>
      <c r="AD15" s="19" t="n">
        <v>8.2</v>
      </c>
      <c r="AE15" s="13" t="n">
        <f aca="false">$C15*AD15/100</f>
        <v>0.492</v>
      </c>
      <c r="AF15" s="16" t="n">
        <f aca="false">$J15*AD15/100</f>
        <v>0</v>
      </c>
      <c r="AG15" s="18" t="n">
        <f aca="false">$E15*AD15/100</f>
        <v>10.7345454545455</v>
      </c>
      <c r="AH15" s="2"/>
      <c r="AI15" s="19" t="n">
        <v>9.36</v>
      </c>
      <c r="AJ15" s="13" t="n">
        <f aca="false">$C15*AI15/100</f>
        <v>0.5616</v>
      </c>
      <c r="AK15" s="16" t="n">
        <f aca="false">$J15*AI15/100</f>
        <v>0</v>
      </c>
      <c r="AL15" s="18" t="n">
        <f aca="false">$E15*AI15/100</f>
        <v>12.2530909090909</v>
      </c>
      <c r="AM15" s="2"/>
      <c r="AN15" s="19" t="n">
        <v>10.28</v>
      </c>
      <c r="AO15" s="13" t="n">
        <f aca="false">$C15*AN15/100</f>
        <v>0.6168</v>
      </c>
      <c r="AP15" s="16" t="n">
        <f aca="false">$J15*AN15/100</f>
        <v>0</v>
      </c>
      <c r="AQ15" s="18" t="n">
        <f aca="false">$E15*AN15/100</f>
        <v>13.4574545454545</v>
      </c>
    </row>
    <row r="16" customFormat="false" ht="13.8" hidden="false" customHeight="false" outlineLevel="0" collapsed="false">
      <c r="A16" s="12" t="s">
        <v>76</v>
      </c>
      <c r="B16" s="13" t="n">
        <v>7.5</v>
      </c>
      <c r="C16" s="13" t="n">
        <v>10</v>
      </c>
      <c r="D16" s="14" t="n">
        <f aca="false">B16*C16/100</f>
        <v>0.75</v>
      </c>
      <c r="E16" s="42" t="n">
        <f aca="false">$B$1*C16/100</f>
        <v>218.181818181818</v>
      </c>
      <c r="F16" s="42" t="n">
        <v>0</v>
      </c>
      <c r="G16" s="42" t="n">
        <f aca="false">E16-F16</f>
        <v>218.181818181818</v>
      </c>
      <c r="H16" s="42" t="n">
        <f aca="false">G16/($B$4)</f>
        <v>6.23376623376623</v>
      </c>
      <c r="I16" s="42" t="n">
        <f aca="false">G16/($B$3)</f>
        <v>27.2727272727273</v>
      </c>
      <c r="J16" s="42" t="n">
        <f aca="false">F16+H16*$B$5</f>
        <v>0</v>
      </c>
      <c r="K16" s="43" t="n">
        <f aca="false">H16*(1+B16/100/52)^(52-$B$4)*( ( (1+B16/100/52)^$B$4-1) / (B16/100/52) ) + F16*(1+B16/100/52)^(52)</f>
        <v>229.163978937057</v>
      </c>
      <c r="L16" s="43" t="n">
        <f aca="false">I16*(1+B16/100/12)^(12-$B$3)*(((1+B16/100/12)^$B$3-1)/(B16/100/12)) + F16*(1+B16/100/12)^(12)</f>
        <v>228.642526986118</v>
      </c>
      <c r="M16" s="2" t="n">
        <v>0</v>
      </c>
      <c r="N16" s="16" t="n">
        <f aca="false">M16*H16</f>
        <v>0</v>
      </c>
      <c r="O16" s="17" t="n">
        <v>22.4</v>
      </c>
      <c r="P16" s="13" t="n">
        <f aca="false">C16*O16/100</f>
        <v>2.24</v>
      </c>
      <c r="Q16" s="16" t="n">
        <f aca="false">J16*O16/100</f>
        <v>0</v>
      </c>
      <c r="R16" s="18" t="n">
        <f aca="false">$E16*O16/100</f>
        <v>48.8727272727273</v>
      </c>
      <c r="S16" s="2"/>
      <c r="T16" s="17" t="n">
        <v>2.71</v>
      </c>
      <c r="U16" s="13" t="n">
        <f aca="false">C16*T16/100</f>
        <v>0.271</v>
      </c>
      <c r="V16" s="16" t="n">
        <f aca="false">J16*T16/100</f>
        <v>0</v>
      </c>
      <c r="W16" s="18" t="n">
        <f aca="false">$E16*T16/100</f>
        <v>5.91272727272727</v>
      </c>
      <c r="X16" s="2"/>
      <c r="Y16" s="17" t="n">
        <v>0</v>
      </c>
      <c r="Z16" s="13" t="n">
        <f aca="false">C16*Y16/100</f>
        <v>0</v>
      </c>
      <c r="AA16" s="16" t="n">
        <f aca="false">J16*Y16/100</f>
        <v>0</v>
      </c>
      <c r="AB16" s="18" t="n">
        <f aca="false">$E16*Y16/100</f>
        <v>0</v>
      </c>
      <c r="AC16" s="2"/>
      <c r="AD16" s="19" t="n">
        <v>8</v>
      </c>
      <c r="AE16" s="13" t="n">
        <f aca="false">$C16*AD16/100</f>
        <v>0.8</v>
      </c>
      <c r="AF16" s="16" t="n">
        <f aca="false">$J16*AD16/100</f>
        <v>0</v>
      </c>
      <c r="AG16" s="18" t="n">
        <f aca="false">$E16*AD16/100</f>
        <v>17.4545454545455</v>
      </c>
      <c r="AH16" s="2"/>
      <c r="AI16" s="19" t="n">
        <v>12.6</v>
      </c>
      <c r="AJ16" s="13" t="n">
        <f aca="false">$C16*AI16/100</f>
        <v>1.26</v>
      </c>
      <c r="AK16" s="16" t="n">
        <f aca="false">$J16*AI16/100</f>
        <v>0</v>
      </c>
      <c r="AL16" s="18" t="n">
        <f aca="false">$E16*AI16/100</f>
        <v>27.4909090909091</v>
      </c>
      <c r="AM16" s="2"/>
      <c r="AN16" s="19" t="n">
        <v>14</v>
      </c>
      <c r="AO16" s="13" t="n">
        <f aca="false">$C16*AN16/100</f>
        <v>1.4</v>
      </c>
      <c r="AP16" s="16" t="n">
        <f aca="false">$J16*AN16/100</f>
        <v>0</v>
      </c>
      <c r="AQ16" s="18" t="n">
        <f aca="false">$E16*AN16/100</f>
        <v>30.5454545454545</v>
      </c>
    </row>
    <row r="17" customFormat="false" ht="13.8" hidden="false" customHeight="false" outlineLevel="0" collapsed="false">
      <c r="A17" s="12" t="s">
        <v>77</v>
      </c>
      <c r="B17" s="13" t="n">
        <v>3</v>
      </c>
      <c r="C17" s="13" t="n">
        <v>6</v>
      </c>
      <c r="D17" s="14" t="n">
        <f aca="false">B17*C17/100</f>
        <v>0.18</v>
      </c>
      <c r="E17" s="42" t="n">
        <f aca="false">$B$1*C17/100</f>
        <v>130.909090909091</v>
      </c>
      <c r="F17" s="42" t="n">
        <v>0</v>
      </c>
      <c r="G17" s="42" t="n">
        <f aca="false">E17-F17</f>
        <v>130.909090909091</v>
      </c>
      <c r="H17" s="42" t="n">
        <f aca="false">G17/($B$4)</f>
        <v>3.74025974025974</v>
      </c>
      <c r="I17" s="42" t="n">
        <f aca="false">G17/($B$3)</f>
        <v>16.3636363636364</v>
      </c>
      <c r="J17" s="42" t="n">
        <f aca="false">F17+H17*$B$5</f>
        <v>0</v>
      </c>
      <c r="K17" s="43" t="n">
        <f aca="false">H17*(1+B17/100/52)^(52-$B$4)*( ( (1+B17/100/52)^$B$4-1) / (B17/100/52) ) + F17*(1+B17/100/52)^(52)</f>
        <v>133.503782835419</v>
      </c>
      <c r="L17" s="43" t="n">
        <f aca="false">I17*(1+B17/100/12)^(12-$B$3)*(((1+B17/100/12)^$B$3-1)/(B17/100/12)) + F17*(1+B17/100/12)^(12)</f>
        <v>133.385854087273</v>
      </c>
      <c r="M17" s="2" t="n">
        <v>0</v>
      </c>
      <c r="N17" s="16" t="n">
        <f aca="false">M17*H17</f>
        <v>0</v>
      </c>
      <c r="O17" s="17" t="n">
        <v>0</v>
      </c>
      <c r="P17" s="13" t="n">
        <f aca="false">C17*O17/100</f>
        <v>0</v>
      </c>
      <c r="Q17" s="16" t="n">
        <f aca="false">J17*O17/100</f>
        <v>0</v>
      </c>
      <c r="R17" s="18" t="n">
        <f aca="false">$E17*O17/100</f>
        <v>0</v>
      </c>
      <c r="S17" s="2"/>
      <c r="T17" s="17" t="n">
        <v>100</v>
      </c>
      <c r="U17" s="13" t="n">
        <f aca="false">C17*T17/100</f>
        <v>6</v>
      </c>
      <c r="V17" s="16" t="n">
        <f aca="false">J17*T17/100</f>
        <v>0</v>
      </c>
      <c r="W17" s="18" t="n">
        <f aca="false">$E17*T17/100</f>
        <v>130.909090909091</v>
      </c>
      <c r="X17" s="2"/>
      <c r="Y17" s="17" t="n">
        <v>1.84</v>
      </c>
      <c r="Z17" s="13" t="n">
        <f aca="false">C17*Y17/100</f>
        <v>0.1104</v>
      </c>
      <c r="AA17" s="16" t="n">
        <f aca="false">J17*Y17/100</f>
        <v>0</v>
      </c>
      <c r="AB17" s="18" t="n">
        <f aca="false">$E17*Y17/100</f>
        <v>2.40872727272727</v>
      </c>
      <c r="AC17" s="2"/>
      <c r="AD17" s="19" t="n">
        <v>0</v>
      </c>
      <c r="AE17" s="13" t="n">
        <f aca="false">$C17*AD17/100</f>
        <v>0</v>
      </c>
      <c r="AF17" s="16" t="n">
        <f aca="false">$J17*AD17/100</f>
        <v>0</v>
      </c>
      <c r="AG17" s="18" t="n">
        <f aca="false">$E17*AD17/100</f>
        <v>0</v>
      </c>
      <c r="AH17" s="2"/>
      <c r="AI17" s="19" t="n">
        <v>0</v>
      </c>
      <c r="AJ17" s="13" t="n">
        <f aca="false">$C17*AI17/100</f>
        <v>0</v>
      </c>
      <c r="AK17" s="16" t="n">
        <f aca="false">$J17*AI17/100</f>
        <v>0</v>
      </c>
      <c r="AL17" s="18" t="n">
        <f aca="false">$E17*AI17/100</f>
        <v>0</v>
      </c>
      <c r="AM17" s="2"/>
      <c r="AN17" s="19" t="n">
        <v>0</v>
      </c>
      <c r="AO17" s="13" t="n">
        <f aca="false">$C17*AN17/100</f>
        <v>0</v>
      </c>
      <c r="AP17" s="16" t="n">
        <f aca="false">$J17*AN17/100</f>
        <v>0</v>
      </c>
      <c r="AQ17" s="18" t="n">
        <f aca="false">$E17*AN17/100</f>
        <v>0</v>
      </c>
    </row>
    <row r="18" customFormat="false" ht="13.8" hidden="false" customHeight="false" outlineLevel="0" collapsed="false">
      <c r="A18" s="12" t="s">
        <v>78</v>
      </c>
      <c r="B18" s="13" t="n">
        <v>10</v>
      </c>
      <c r="C18" s="13" t="n">
        <v>0</v>
      </c>
      <c r="D18" s="14" t="n">
        <f aca="false">B18*C18/100</f>
        <v>0</v>
      </c>
      <c r="E18" s="42" t="n">
        <f aca="false">$B$1*C18/100</f>
        <v>0</v>
      </c>
      <c r="F18" s="42" t="n">
        <v>0</v>
      </c>
      <c r="G18" s="42" t="n">
        <f aca="false">E18-F18</f>
        <v>0</v>
      </c>
      <c r="H18" s="42" t="n">
        <f aca="false">G18/($B$4)</f>
        <v>0</v>
      </c>
      <c r="I18" s="42" t="n">
        <f aca="false">G18/($B$3)</f>
        <v>0</v>
      </c>
      <c r="J18" s="42" t="n">
        <f aca="false">F18+H18*$B$5</f>
        <v>0</v>
      </c>
      <c r="K18" s="43" t="n">
        <f aca="false">H18*(1+B18/100/52)^(52-$B$4)*( ( (1+B18/100/52)^$B$4-1) / (B18/100/52) ) + F18*(1+B18/100/52)^(52)</f>
        <v>0</v>
      </c>
      <c r="L18" s="43" t="n">
        <f aca="false">I18*(1+B18/100/12)^(12-$B$3)*(((1+B18/100/12)^$B$3-1)/(B18/100/12)) + F18*(1+B18/100/12)^(12)</f>
        <v>0</v>
      </c>
      <c r="M18" s="2" t="n">
        <v>0</v>
      </c>
      <c r="N18" s="16" t="n">
        <f aca="false">M18*H18</f>
        <v>0</v>
      </c>
      <c r="O18" s="17" t="n">
        <v>0</v>
      </c>
      <c r="P18" s="13" t="n">
        <f aca="false">C18*O18/100</f>
        <v>0</v>
      </c>
      <c r="Q18" s="16" t="n">
        <f aca="false">J18*O18/100</f>
        <v>0</v>
      </c>
      <c r="R18" s="18" t="n">
        <f aca="false">$E18*O18/100</f>
        <v>0</v>
      </c>
      <c r="S18" s="2"/>
      <c r="T18" s="17" t="n">
        <v>0</v>
      </c>
      <c r="U18" s="13" t="n">
        <f aca="false">C18*T18/100</f>
        <v>0</v>
      </c>
      <c r="V18" s="16" t="n">
        <f aca="false">J18*T18/100</f>
        <v>0</v>
      </c>
      <c r="W18" s="18" t="n">
        <f aca="false">$E18*T18/100</f>
        <v>0</v>
      </c>
      <c r="X18" s="2"/>
      <c r="Y18" s="17" t="n">
        <v>0</v>
      </c>
      <c r="Z18" s="13" t="n">
        <f aca="false">C18*Y18/100</f>
        <v>0</v>
      </c>
      <c r="AA18" s="16" t="n">
        <f aca="false">J18*Y18/100</f>
        <v>0</v>
      </c>
      <c r="AB18" s="18" t="n">
        <f aca="false">$E18*Y18/100</f>
        <v>0</v>
      </c>
      <c r="AC18" s="2"/>
      <c r="AD18" s="19" t="n">
        <v>0</v>
      </c>
      <c r="AE18" s="13" t="n">
        <f aca="false">$C18*AD18/100</f>
        <v>0</v>
      </c>
      <c r="AF18" s="16" t="n">
        <f aca="false">$J18*AD18/100</f>
        <v>0</v>
      </c>
      <c r="AG18" s="18" t="n">
        <f aca="false">$E18*AD18/100</f>
        <v>0</v>
      </c>
      <c r="AH18" s="2"/>
      <c r="AI18" s="19" t="n">
        <v>0</v>
      </c>
      <c r="AJ18" s="13" t="n">
        <f aca="false">$C18*AI18/100</f>
        <v>0</v>
      </c>
      <c r="AK18" s="16" t="n">
        <f aca="false">$J18*AI18/100</f>
        <v>0</v>
      </c>
      <c r="AL18" s="18" t="n">
        <f aca="false">$E18*AI18/100</f>
        <v>0</v>
      </c>
      <c r="AM18" s="2"/>
      <c r="AN18" s="19" t="n">
        <v>0</v>
      </c>
      <c r="AO18" s="13" t="n">
        <f aca="false">$C18*AN18/100</f>
        <v>0</v>
      </c>
      <c r="AP18" s="16" t="n">
        <f aca="false">$J18*AN18/100</f>
        <v>0</v>
      </c>
      <c r="AQ18" s="18" t="n">
        <f aca="false">$E18*AN18/100</f>
        <v>0</v>
      </c>
    </row>
    <row r="19" customFormat="false" ht="13.8" hidden="false" customHeight="false" outlineLevel="0" collapsed="false">
      <c r="A19" s="12" t="s">
        <v>79</v>
      </c>
      <c r="B19" s="13" t="n">
        <v>5</v>
      </c>
      <c r="C19" s="13" t="n">
        <v>0</v>
      </c>
      <c r="D19" s="14" t="n">
        <f aca="false">B19*C19/100</f>
        <v>0</v>
      </c>
      <c r="E19" s="42" t="n">
        <f aca="false">$B$1*C19/100</f>
        <v>0</v>
      </c>
      <c r="F19" s="42" t="n">
        <v>0</v>
      </c>
      <c r="G19" s="42" t="n">
        <f aca="false">E19-F19</f>
        <v>0</v>
      </c>
      <c r="H19" s="42" t="n">
        <f aca="false">G19/($B$4)</f>
        <v>0</v>
      </c>
      <c r="I19" s="42" t="n">
        <f aca="false">G19/($B$3)</f>
        <v>0</v>
      </c>
      <c r="J19" s="42" t="n">
        <f aca="false">F19+H19*$B$5</f>
        <v>0</v>
      </c>
      <c r="K19" s="43" t="n">
        <f aca="false">H19*(1+B19/100/52)^(52-$B$4)*( ( (1+B19/100/52)^$B$4-1) / (B19/100/52) ) + F19*(1+B19/100/52)^(52)</f>
        <v>0</v>
      </c>
      <c r="L19" s="43" t="n">
        <f aca="false">I19*(1+B19/100/12)^(12-$B$3)*(((1+B19/100/12)^$B$3-1)/(B19/100/12)) + F19*(1+B19/100/12)^(12)</f>
        <v>0</v>
      </c>
      <c r="M19" s="2" t="n">
        <v>0</v>
      </c>
      <c r="N19" s="16" t="n">
        <f aca="false">M19*H19</f>
        <v>0</v>
      </c>
      <c r="O19" s="17" t="n">
        <v>0</v>
      </c>
      <c r="P19" s="13" t="n">
        <f aca="false">C19*O19/100</f>
        <v>0</v>
      </c>
      <c r="Q19" s="16" t="n">
        <f aca="false">J19*O19/100</f>
        <v>0</v>
      </c>
      <c r="R19" s="18" t="n">
        <f aca="false">$E19*O19/100</f>
        <v>0</v>
      </c>
      <c r="S19" s="2"/>
      <c r="T19" s="17" t="n">
        <v>0</v>
      </c>
      <c r="U19" s="13" t="n">
        <f aca="false">C19*T19/100</f>
        <v>0</v>
      </c>
      <c r="V19" s="16" t="n">
        <f aca="false">J19*T19/100</f>
        <v>0</v>
      </c>
      <c r="W19" s="18" t="n">
        <f aca="false">$E19*T19/100</f>
        <v>0</v>
      </c>
      <c r="X19" s="2"/>
      <c r="Y19" s="17" t="n">
        <v>100</v>
      </c>
      <c r="Z19" s="13" t="n">
        <f aca="false">C19*Y19/100</f>
        <v>0</v>
      </c>
      <c r="AA19" s="16" t="n">
        <f aca="false">J19*Y19/100</f>
        <v>0</v>
      </c>
      <c r="AB19" s="18" t="n">
        <f aca="false">$E19*Y19/100</f>
        <v>0</v>
      </c>
      <c r="AC19" s="2"/>
      <c r="AD19" s="19" t="n">
        <v>0</v>
      </c>
      <c r="AE19" s="13" t="n">
        <f aca="false">$C19*AD19/100</f>
        <v>0</v>
      </c>
      <c r="AF19" s="16" t="n">
        <f aca="false">$J19*AD19/100</f>
        <v>0</v>
      </c>
      <c r="AG19" s="18" t="n">
        <f aca="false">$E19*AD19/100</f>
        <v>0</v>
      </c>
      <c r="AH19" s="2"/>
      <c r="AI19" s="19" t="n">
        <v>0</v>
      </c>
      <c r="AJ19" s="13" t="n">
        <f aca="false">$C19*AI19/100</f>
        <v>0</v>
      </c>
      <c r="AK19" s="16" t="n">
        <f aca="false">$J19*AI19/100</f>
        <v>0</v>
      </c>
      <c r="AL19" s="18" t="n">
        <f aca="false">$E19*AI19/100</f>
        <v>0</v>
      </c>
      <c r="AM19" s="2"/>
      <c r="AN19" s="19" t="n">
        <v>0</v>
      </c>
      <c r="AO19" s="13" t="n">
        <f aca="false">$C19*AN19/100</f>
        <v>0</v>
      </c>
      <c r="AP19" s="16" t="n">
        <f aca="false">$J19*AN19/100</f>
        <v>0</v>
      </c>
      <c r="AQ19" s="18" t="n">
        <f aca="false">$E19*AN19/100</f>
        <v>0</v>
      </c>
    </row>
    <row r="20" customFormat="false" ht="13.8" hidden="false" customHeight="false" outlineLevel="0" collapsed="false">
      <c r="A20" s="12" t="s">
        <v>80</v>
      </c>
      <c r="B20" s="13" t="n">
        <v>15</v>
      </c>
      <c r="C20" s="13" t="n">
        <v>2</v>
      </c>
      <c r="D20" s="14" t="n">
        <f aca="false">B20*C20/100</f>
        <v>0.3</v>
      </c>
      <c r="E20" s="42" t="n">
        <f aca="false">$B$1*C20/100</f>
        <v>43.6363636363636</v>
      </c>
      <c r="F20" s="42" t="n">
        <v>0</v>
      </c>
      <c r="G20" s="42" t="n">
        <f aca="false">E20-F20</f>
        <v>43.6363636363636</v>
      </c>
      <c r="H20" s="42" t="n">
        <f aca="false">G20/($B$4)</f>
        <v>1.24675324675325</v>
      </c>
      <c r="I20" s="42" t="n">
        <f aca="false">G20/($B$3)</f>
        <v>5.45454545454546</v>
      </c>
      <c r="J20" s="42" t="n">
        <f aca="false">F20+H20*$B$5</f>
        <v>0</v>
      </c>
      <c r="K20" s="43" t="n">
        <f aca="false">H20*(1+B20/100/52)^(52-$B$4)*( ( (1+B20/100/52)^$B$4-1) / (B20/100/52) ) + F20*(1+B20/100/52)^(52)</f>
        <v>48.1465595550278</v>
      </c>
      <c r="L20" s="43" t="n">
        <f aca="false">I20*(1+B20/100/12)^(12-$B$3)*(((1+B20/100/12)^$B$3-1)/(B20/100/12)) + F20*(1+B20/100/12)^(12)</f>
        <v>47.9167334438993</v>
      </c>
      <c r="M20" s="2" t="n">
        <v>0</v>
      </c>
      <c r="N20" s="16" t="n">
        <f aca="false">M20*H20</f>
        <v>0</v>
      </c>
      <c r="O20" s="17" t="n">
        <v>20</v>
      </c>
      <c r="P20" s="13" t="n">
        <f aca="false">C20*O20/100</f>
        <v>0.4</v>
      </c>
      <c r="Q20" s="16" t="n">
        <f aca="false">J20*O20/100</f>
        <v>0</v>
      </c>
      <c r="R20" s="18" t="n">
        <f aca="false">$E20*O20/100</f>
        <v>8.72727272727273</v>
      </c>
      <c r="S20" s="2"/>
      <c r="T20" s="17" t="n">
        <v>0.65</v>
      </c>
      <c r="U20" s="13" t="n">
        <f aca="false">C20*T20/100</f>
        <v>0.013</v>
      </c>
      <c r="V20" s="16" t="n">
        <f aca="false">J20*T20/100</f>
        <v>0</v>
      </c>
      <c r="W20" s="18" t="n">
        <f aca="false">$E20*T20/100</f>
        <v>0.283636363636364</v>
      </c>
      <c r="X20" s="2"/>
      <c r="Y20" s="17" t="n">
        <v>0</v>
      </c>
      <c r="Z20" s="13" t="n">
        <f aca="false">C20*Y20/100</f>
        <v>0</v>
      </c>
      <c r="AA20" s="16" t="n">
        <f aca="false">J20*Y20/100</f>
        <v>0</v>
      </c>
      <c r="AB20" s="18" t="n">
        <f aca="false">$E20*Y20/100</f>
        <v>0</v>
      </c>
      <c r="AC20" s="2"/>
      <c r="AD20" s="19" t="n">
        <v>3.15</v>
      </c>
      <c r="AE20" s="13" t="n">
        <f aca="false">$C20*AD20/100</f>
        <v>0.063</v>
      </c>
      <c r="AF20" s="16" t="n">
        <f aca="false">$J20*AD20/100</f>
        <v>0</v>
      </c>
      <c r="AG20" s="18" t="n">
        <f aca="false">$E20*AD20/100</f>
        <v>1.37454545454545</v>
      </c>
      <c r="AH20" s="2"/>
      <c r="AI20" s="19" t="n">
        <v>5</v>
      </c>
      <c r="AJ20" s="13" t="n">
        <f aca="false">$C20*AI20/100</f>
        <v>0.1</v>
      </c>
      <c r="AK20" s="16" t="n">
        <f aca="false">$J20*AI20/100</f>
        <v>0</v>
      </c>
      <c r="AL20" s="18" t="n">
        <f aca="false">$E20*AI20/100</f>
        <v>2.18181818181818</v>
      </c>
      <c r="AM20" s="2"/>
      <c r="AN20" s="19" t="n">
        <v>24</v>
      </c>
      <c r="AO20" s="13" t="n">
        <f aca="false">$C20*AN20/100</f>
        <v>0.48</v>
      </c>
      <c r="AP20" s="16" t="n">
        <f aca="false">$J20*AN20/100</f>
        <v>0</v>
      </c>
      <c r="AQ20" s="18" t="n">
        <f aca="false">$E20*AN20/100</f>
        <v>10.4727272727273</v>
      </c>
    </row>
    <row r="21" customFormat="false" ht="13.8" hidden="false" customHeight="false" outlineLevel="0" collapsed="false">
      <c r="A21" s="2"/>
      <c r="B21" s="13" t="n">
        <v>1</v>
      </c>
      <c r="C21" s="13" t="n">
        <v>0</v>
      </c>
      <c r="D21" s="14" t="n">
        <f aca="false">B21*C21/100</f>
        <v>0</v>
      </c>
      <c r="E21" s="42" t="n">
        <f aca="false">$B$1*C21/100</f>
        <v>0</v>
      </c>
      <c r="F21" s="42" t="n">
        <v>0</v>
      </c>
      <c r="G21" s="42" t="n">
        <f aca="false">E21-F21</f>
        <v>0</v>
      </c>
      <c r="H21" s="42" t="n">
        <f aca="false">G21/($B$4)</f>
        <v>0</v>
      </c>
      <c r="I21" s="42" t="n">
        <f aca="false">G21/($B$3)</f>
        <v>0</v>
      </c>
      <c r="J21" s="42" t="n">
        <f aca="false">F21+H21*$B$5</f>
        <v>0</v>
      </c>
      <c r="K21" s="43" t="n">
        <f aca="false">H21*(1+B21/100/52)^(52-$B$4)*( ( (1+B21/100/52)^$B$4-1) / (B21/100/52) ) + F21*(1+B21/100/52)^(52)</f>
        <v>0</v>
      </c>
      <c r="L21" s="43" t="n">
        <f aca="false">I21*(1+B21/100/12)^(12-$B$3)*(((1+B21/100/12)^$B$3-1)/(B21/100/12)) + F21*(1+B21/100/12)^(12)</f>
        <v>0</v>
      </c>
      <c r="M21" s="2" t="n">
        <v>0</v>
      </c>
      <c r="N21" s="16" t="n">
        <f aca="false">M21*H21</f>
        <v>0</v>
      </c>
      <c r="O21" s="17" t="n">
        <v>7</v>
      </c>
      <c r="P21" s="13" t="n">
        <f aca="false">C21*O21/100</f>
        <v>0</v>
      </c>
      <c r="Q21" s="16" t="n">
        <f aca="false">J21*O21/100</f>
        <v>0</v>
      </c>
      <c r="R21" s="18" t="n">
        <f aca="false">$E21*O21/100</f>
        <v>0</v>
      </c>
      <c r="S21" s="2"/>
      <c r="T21" s="17" t="n">
        <v>4</v>
      </c>
      <c r="U21" s="13" t="n">
        <f aca="false">C21*T21/100</f>
        <v>0</v>
      </c>
      <c r="V21" s="16" t="n">
        <f aca="false">J21*T21/100</f>
        <v>0</v>
      </c>
      <c r="W21" s="18" t="n">
        <f aca="false">$E21*T21/100</f>
        <v>0</v>
      </c>
      <c r="X21" s="2"/>
      <c r="Y21" s="17" t="n">
        <v>0.7</v>
      </c>
      <c r="Z21" s="13" t="n">
        <f aca="false">C21*Y21/100</f>
        <v>0</v>
      </c>
      <c r="AA21" s="16" t="n">
        <f aca="false">J21*Y21/100</f>
        <v>0</v>
      </c>
      <c r="AB21" s="18" t="n">
        <f aca="false">$E21*Y21/100</f>
        <v>0</v>
      </c>
      <c r="AC21" s="2"/>
      <c r="AD21" s="19" t="n">
        <v>18</v>
      </c>
      <c r="AE21" s="13" t="n">
        <f aca="false">$C21*AD21/100</f>
        <v>0</v>
      </c>
      <c r="AF21" s="16" t="n">
        <f aca="false">$J21*AD21/100</f>
        <v>0</v>
      </c>
      <c r="AG21" s="18" t="n">
        <f aca="false">$E21*AD21/100</f>
        <v>0</v>
      </c>
      <c r="AH21" s="2"/>
      <c r="AI21" s="19" t="n">
        <v>7.6</v>
      </c>
      <c r="AJ21" s="13" t="n">
        <f aca="false">$C21*AI21/100</f>
        <v>0</v>
      </c>
      <c r="AK21" s="16" t="n">
        <f aca="false">$J21*AI21/100</f>
        <v>0</v>
      </c>
      <c r="AL21" s="18" t="n">
        <f aca="false">$E21*AI21/100</f>
        <v>0</v>
      </c>
      <c r="AM21" s="2"/>
      <c r="AN21" s="19" t="n">
        <v>13.5</v>
      </c>
      <c r="AO21" s="13" t="n">
        <f aca="false">$C21*AN21/100</f>
        <v>0</v>
      </c>
      <c r="AP21" s="16" t="n">
        <f aca="false">$J21*AN21/100</f>
        <v>0</v>
      </c>
      <c r="AQ21" s="18" t="n">
        <f aca="false">$E21*AN21/100</f>
        <v>0</v>
      </c>
    </row>
    <row r="22" customFormat="false" ht="13.8" hidden="false" customHeight="false" outlineLevel="0" collapsed="false">
      <c r="A22" s="44"/>
      <c r="B22" s="13"/>
      <c r="C22" s="13"/>
      <c r="D22" s="14"/>
      <c r="E22" s="15"/>
      <c r="F22" s="15"/>
      <c r="G22" s="15"/>
      <c r="H22" s="15"/>
      <c r="I22" s="15"/>
      <c r="J22" s="15"/>
      <c r="K22" s="16"/>
      <c r="L22" s="16"/>
      <c r="M22" s="2"/>
      <c r="N22" s="16"/>
      <c r="O22" s="25" t="s">
        <v>53</v>
      </c>
      <c r="P22" s="26" t="n">
        <f aca="false">SUM(P9:P21)</f>
        <v>38.679</v>
      </c>
      <c r="Q22" s="27" t="n">
        <f aca="false">SUM(Q9:Q17)</f>
        <v>0</v>
      </c>
      <c r="R22" s="28" t="n">
        <f aca="false">SUM(R9:R21)</f>
        <v>843.905454545455</v>
      </c>
      <c r="S22" s="2"/>
      <c r="T22" s="25" t="s">
        <v>53</v>
      </c>
      <c r="U22" s="26" t="n">
        <f aca="false">SUM(U9:U21)</f>
        <v>7.4554</v>
      </c>
      <c r="V22" s="27" t="n">
        <f aca="false">SUM(V9:V17)</f>
        <v>0</v>
      </c>
      <c r="W22" s="28" t="n">
        <f aca="false">SUM(W9:W21)</f>
        <v>162.663272727273</v>
      </c>
      <c r="X22" s="2"/>
      <c r="Y22" s="25" t="s">
        <v>53</v>
      </c>
      <c r="Z22" s="26" t="n">
        <f aca="false">SUM(Z9:Z21)</f>
        <v>0.1364</v>
      </c>
      <c r="AA22" s="27" t="n">
        <f aca="false">SUM(AA9:AA17)</f>
        <v>0</v>
      </c>
      <c r="AB22" s="28" t="n">
        <f aca="false">SUM(AB9:AB21)</f>
        <v>2.976</v>
      </c>
      <c r="AC22" s="2"/>
      <c r="AD22" s="25" t="s">
        <v>53</v>
      </c>
      <c r="AE22" s="26" t="n">
        <f aca="false">SUM(AE9:AE21)</f>
        <v>7.055</v>
      </c>
      <c r="AF22" s="27" t="n">
        <f aca="false">SUM(AF9:AF17)</f>
        <v>0</v>
      </c>
      <c r="AG22" s="28" t="n">
        <f aca="false">SUM(AG9:AG21)</f>
        <v>153.927272727273</v>
      </c>
      <c r="AH22" s="2"/>
      <c r="AI22" s="25" t="s">
        <v>53</v>
      </c>
      <c r="AJ22" s="26" t="n">
        <f aca="false">SUM(AJ9:AJ21)</f>
        <v>8.4536</v>
      </c>
      <c r="AK22" s="27" t="n">
        <f aca="false">SUM(AK9:AK17)</f>
        <v>0</v>
      </c>
      <c r="AL22" s="28" t="n">
        <f aca="false">SUM(AL9:AL21)</f>
        <v>184.442181818182</v>
      </c>
      <c r="AM22" s="2"/>
      <c r="AN22" s="25" t="s">
        <v>53</v>
      </c>
      <c r="AO22" s="26" t="n">
        <f aca="false">SUM(AO9:AO21)</f>
        <v>7.5338</v>
      </c>
      <c r="AP22" s="27" t="n">
        <f aca="false">SUM(AP9:AP17)</f>
        <v>0</v>
      </c>
      <c r="AQ22" s="28" t="n">
        <f aca="false">SUM(AQ9:AQ21)</f>
        <v>164.373818181818</v>
      </c>
    </row>
    <row r="23" customFormat="false" ht="13.8" hidden="false" customHeight="false" outlineLevel="0" collapsed="false">
      <c r="A23" s="12"/>
      <c r="B23" s="13"/>
      <c r="C23" s="13"/>
      <c r="D23" s="14"/>
      <c r="E23" s="15"/>
      <c r="F23" s="15"/>
      <c r="G23" s="15"/>
      <c r="H23" s="15"/>
      <c r="I23" s="15"/>
      <c r="J23" s="15"/>
      <c r="K23" s="16"/>
      <c r="L23" s="16"/>
      <c r="M23" s="2"/>
      <c r="N23" s="1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customFormat="false" ht="13.8" hidden="false" customHeight="false" outlineLevel="0" collapsed="false">
      <c r="A24" s="12"/>
      <c r="B24" s="13"/>
      <c r="C24" s="13"/>
      <c r="D24" s="14"/>
      <c r="E24" s="15"/>
      <c r="F24" s="15"/>
      <c r="G24" s="15"/>
      <c r="H24" s="15"/>
      <c r="I24" s="15"/>
      <c r="J24" s="15"/>
      <c r="K24" s="16"/>
      <c r="L24" s="16"/>
      <c r="M24" s="2"/>
      <c r="N24" s="1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customFormat="false" ht="13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16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customFormat="false" ht="13.8" hidden="false" customHeight="false" outlineLevel="0" collapsed="false">
      <c r="A26" s="29" t="s">
        <v>55</v>
      </c>
      <c r="B26" s="2"/>
      <c r="C26" s="7" t="n">
        <f aca="false">SUM(C9:C24)</f>
        <v>100</v>
      </c>
      <c r="D26" s="7" t="n">
        <f aca="false">SUM(D9:D24)</f>
        <v>9.71</v>
      </c>
      <c r="E26" s="45" t="n">
        <f aca="false">SUM(E9:E24)</f>
        <v>2181.81818181818</v>
      </c>
      <c r="F26" s="45" t="n">
        <f aca="false">SUM(F9:F24)</f>
        <v>0</v>
      </c>
      <c r="G26" s="45" t="n">
        <f aca="false">SUM(G9:G24)</f>
        <v>2181.81818181818</v>
      </c>
      <c r="H26" s="45" t="n">
        <f aca="false">SUM(H9:H24)</f>
        <v>62.3376623376623</v>
      </c>
      <c r="I26" s="45" t="n">
        <f aca="false">SUM(I9:I24)</f>
        <v>272.727272727273</v>
      </c>
      <c r="J26" s="45" t="n">
        <f aca="false">SUM(J9:J24)</f>
        <v>0</v>
      </c>
      <c r="K26" s="45" t="n">
        <f aca="false">SUM(K9:K24)</f>
        <v>2326.54003694778</v>
      </c>
      <c r="L26" s="45" t="n">
        <f aca="false">SUM(L9:L24)</f>
        <v>2319.33069001253</v>
      </c>
      <c r="M26" s="2"/>
      <c r="N26" s="16" t="n">
        <f aca="false">SUM(N9:N24)</f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18"/>
      <c r="AL26" s="2"/>
      <c r="AM26" s="2"/>
      <c r="AN26" s="2"/>
      <c r="AO26" s="2"/>
      <c r="AP26" s="2"/>
      <c r="AQ26" s="2"/>
    </row>
    <row r="27" customFormat="false" ht="13.8" hidden="false" customHeight="false" outlineLevel="0" collapsed="false">
      <c r="A27" s="30" t="s">
        <v>56</v>
      </c>
      <c r="B27" s="31"/>
      <c r="C27" s="31"/>
      <c r="D27" s="31"/>
      <c r="E27" s="46" t="n">
        <f aca="false">E26-E28</f>
        <v>2173.73454545455</v>
      </c>
      <c r="F27" s="46" t="n">
        <f aca="false">F26-F28</f>
        <v>0</v>
      </c>
      <c r="G27" s="46" t="n">
        <f aca="false">G26-G28</f>
        <v>2173.73454545455</v>
      </c>
      <c r="H27" s="46" t="n">
        <f aca="false">H26-H28</f>
        <v>62.1067012987013</v>
      </c>
      <c r="I27" s="46" t="n">
        <f aca="false">I26-I28</f>
        <v>271.716818181818</v>
      </c>
      <c r="J27" s="46" t="n">
        <f aca="false">J26-J28</f>
        <v>0</v>
      </c>
      <c r="K27" s="47" t="n">
        <f aca="false">K26-E28</f>
        <v>2318.45640058416</v>
      </c>
      <c r="L27" s="47" t="n">
        <f aca="false">L26-E28</f>
        <v>2311.24705364889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customFormat="false" ht="13.8" hidden="false" customHeight="false" outlineLevel="0" collapsed="false">
      <c r="A28" s="34" t="s">
        <v>57</v>
      </c>
      <c r="B28" s="4"/>
      <c r="C28" s="4"/>
      <c r="D28" s="4"/>
      <c r="E28" s="45" t="n">
        <f aca="false">E26*(0.25/100 + 0.075/100)*1.14</f>
        <v>8.08363636363636</v>
      </c>
      <c r="F28" s="45" t="n">
        <f aca="false">F26*(0.25/100 + 0.075/100)*1.14</f>
        <v>0</v>
      </c>
      <c r="G28" s="45" t="n">
        <f aca="false">G26*(0.25/100 + 0.075/100)*1.14</f>
        <v>8.08363636363636</v>
      </c>
      <c r="H28" s="45" t="n">
        <f aca="false">H26*(0.25/100 + 0.075/100)*1.14</f>
        <v>0.230961038961039</v>
      </c>
      <c r="I28" s="45" t="n">
        <f aca="false">I26*(0.25/100 + 0.075/100)*1.14</f>
        <v>1.01045454545455</v>
      </c>
      <c r="J28" s="45" t="n">
        <f aca="false">J26*(0.25/100 + 0.075/100)*1.14</f>
        <v>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customFormat="false" ht="13.8" hidden="false" customHeight="false" outlineLevel="0" collapsed="false">
      <c r="A29" s="34"/>
      <c r="B29" s="4"/>
      <c r="C29" s="4"/>
      <c r="D29" s="4"/>
      <c r="E29" s="15"/>
      <c r="F29" s="15"/>
      <c r="G29" s="15"/>
      <c r="H29" s="15"/>
      <c r="I29" s="15"/>
      <c r="J29" s="15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customFormat="false" ht="13.8" hidden="false" customHeight="false" outlineLevel="0" collapsed="false">
      <c r="A30" s="4"/>
      <c r="B30" s="7" t="s">
        <v>58</v>
      </c>
      <c r="C30" s="7" t="s">
        <v>59</v>
      </c>
      <c r="D30" s="35"/>
      <c r="E30" s="2"/>
      <c r="F30" s="2"/>
      <c r="G30" s="2"/>
      <c r="H30" s="2"/>
      <c r="I30" s="2" t="s">
        <v>60</v>
      </c>
      <c r="J30" s="16" t="n">
        <f aca="false">J27+N26</f>
        <v>0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customFormat="false" ht="13.8" hidden="false" customHeight="false" outlineLevel="0" collapsed="false">
      <c r="A31" s="36" t="s">
        <v>61</v>
      </c>
      <c r="B31" s="48" t="n">
        <f aca="false">K27-$E$27</f>
        <v>144.72185512961</v>
      </c>
      <c r="C31" s="48" t="n">
        <f aca="false">L27-$E$27</f>
        <v>137.512508194342</v>
      </c>
      <c r="D31" s="38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customFormat="false" ht="13.8" hidden="false" customHeight="false" outlineLevel="0" collapsed="false">
      <c r="A32" s="39" t="s">
        <v>62</v>
      </c>
      <c r="B32" s="49" t="n">
        <f aca="false">B31/$B$1</f>
        <v>0.0663308502677377</v>
      </c>
      <c r="C32" s="49" t="n">
        <f aca="false">C31/B1</f>
        <v>0.0630265662557403</v>
      </c>
      <c r="D32" s="41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customFormat="false" ht="13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customFormat="false" ht="13.8" hidden="false" customHeight="false" outlineLevel="0" collapsed="false">
      <c r="A37" s="2" t="s">
        <v>81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customFormat="false" ht="13.8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customFormat="false" ht="13.8" hidden="false" customHeight="false" outlineLevel="0" collapsed="false">
      <c r="A39" s="2" t="n">
        <v>4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customFormat="false" ht="13.8" hidden="false" customHeight="false" outlineLevel="0" collapsed="false">
      <c r="A40" s="2"/>
      <c r="B40" s="2" t="s">
        <v>82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customFormat="false" ht="13.8" hidden="false" customHeight="false" outlineLevel="0" collapsed="false">
      <c r="A41" s="2"/>
      <c r="B41" s="2" t="s">
        <v>83</v>
      </c>
      <c r="C41" s="50" t="n">
        <v>0.12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</row>
    <row r="1029" customFormat="false" ht="15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</row>
    <row r="1030" customFormat="false" ht="15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</row>
    <row r="1031" customFormat="false" ht="15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</row>
    <row r="1032" customFormat="false" ht="15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</row>
    <row r="1033" customFormat="false" ht="15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</row>
    <row r="1034" customFormat="false" ht="15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</row>
    <row r="1035" customFormat="false" ht="15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</row>
    <row r="1036" customFormat="false" ht="15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</row>
    <row r="1037" customFormat="false" ht="15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</row>
    <row r="1038" customFormat="false" ht="15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</row>
    <row r="1039" customFormat="false" ht="15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</row>
    <row r="1040" customFormat="false" ht="15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</row>
    <row r="1041" customFormat="false" ht="15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</row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  <row r="1556" customFormat="false" ht="15" hidden="false" customHeight="false" outlineLevel="0" collapsed="false"/>
    <row r="1557" customFormat="false" ht="15" hidden="false" customHeight="false" outlineLevel="0" collapsed="false"/>
    <row r="1558" customFormat="false" ht="15" hidden="false" customHeight="false" outlineLevel="0" collapsed="false"/>
    <row r="1559" customFormat="false" ht="15" hidden="false" customHeight="false" outlineLevel="0" collapsed="false"/>
    <row r="1560" customFormat="false" ht="15" hidden="false" customHeight="false" outlineLevel="0" collapsed="false"/>
    <row r="1561" customFormat="false" ht="15" hidden="false" customHeight="false" outlineLevel="0" collapsed="false"/>
    <row r="1562" customFormat="false" ht="15" hidden="false" customHeight="false" outlineLevel="0" collapsed="false"/>
    <row r="1563" customFormat="false" ht="15" hidden="false" customHeight="false" outlineLevel="0" collapsed="false"/>
    <row r="1564" customFormat="false" ht="15" hidden="false" customHeight="false" outlineLevel="0" collapsed="false"/>
    <row r="1565" customFormat="false" ht="15" hidden="false" customHeight="false" outlineLevel="0" collapsed="false"/>
    <row r="1566" customFormat="false" ht="15" hidden="false" customHeight="false" outlineLevel="0" collapsed="false"/>
    <row r="1567" customFormat="false" ht="15" hidden="false" customHeight="false" outlineLevel="0" collapsed="false"/>
    <row r="1568" customFormat="false" ht="15" hidden="false" customHeight="false" outlineLevel="0" collapsed="false"/>
    <row r="1569" customFormat="false" ht="15" hidden="false" customHeight="false" outlineLevel="0" collapsed="false"/>
    <row r="1570" customFormat="false" ht="15" hidden="false" customHeight="false" outlineLevel="0" collapsed="false"/>
    <row r="1571" customFormat="false" ht="15" hidden="false" customHeight="false" outlineLevel="0" collapsed="false"/>
    <row r="1572" customFormat="false" ht="15" hidden="false" customHeight="false" outlineLevel="0" collapsed="false"/>
    <row r="1573" customFormat="false" ht="15" hidden="false" customHeight="false" outlineLevel="0" collapsed="false"/>
    <row r="1574" customFormat="false" ht="15" hidden="false" customHeight="false" outlineLevel="0" collapsed="false"/>
    <row r="1575" customFormat="false" ht="15" hidden="false" customHeight="false" outlineLevel="0" collapsed="false"/>
    <row r="1576" customFormat="false" ht="15" hidden="false" customHeight="false" outlineLevel="0" collapsed="false"/>
    <row r="1577" customFormat="false" ht="15" hidden="false" customHeight="false" outlineLevel="0" collapsed="false"/>
    <row r="1578" customFormat="false" ht="15" hidden="false" customHeight="false" outlineLevel="0" collapsed="false"/>
    <row r="1579" customFormat="false" ht="15" hidden="false" customHeight="false" outlineLevel="0" collapsed="false"/>
    <row r="1580" customFormat="false" ht="15" hidden="false" customHeight="false" outlineLevel="0" collapsed="false"/>
    <row r="1581" customFormat="false" ht="15" hidden="false" customHeight="false" outlineLevel="0" collapsed="false"/>
    <row r="1582" customFormat="false" ht="15" hidden="false" customHeight="false" outlineLevel="0" collapsed="false"/>
    <row r="1583" customFormat="false" ht="15" hidden="false" customHeight="false" outlineLevel="0" collapsed="false"/>
    <row r="1584" customFormat="false" ht="15" hidden="false" customHeight="false" outlineLevel="0" collapsed="false"/>
    <row r="1585" customFormat="false" ht="15" hidden="false" customHeight="false" outlineLevel="0" collapsed="false"/>
    <row r="1586" customFormat="false" ht="15" hidden="false" customHeight="false" outlineLevel="0" collapsed="false"/>
    <row r="1587" customFormat="false" ht="15" hidden="false" customHeight="false" outlineLevel="0" collapsed="false"/>
    <row r="1588" customFormat="false" ht="15" hidden="false" customHeight="false" outlineLevel="0" collapsed="false"/>
    <row r="1589" customFormat="false" ht="15" hidden="false" customHeight="false" outlineLevel="0" collapsed="false"/>
    <row r="1590" customFormat="false" ht="15" hidden="false" customHeight="false" outlineLevel="0" collapsed="false"/>
    <row r="1591" customFormat="false" ht="15" hidden="false" customHeight="false" outlineLevel="0" collapsed="false"/>
    <row r="1592" customFormat="false" ht="15" hidden="false" customHeight="false" outlineLevel="0" collapsed="false"/>
    <row r="1593" customFormat="false" ht="15" hidden="false" customHeight="false" outlineLevel="0" collapsed="false"/>
    <row r="1594" customFormat="false" ht="15" hidden="false" customHeight="false" outlineLevel="0" collapsed="false"/>
    <row r="1595" customFormat="false" ht="15" hidden="false" customHeight="false" outlineLevel="0" collapsed="false"/>
    <row r="1596" customFormat="false" ht="15" hidden="false" customHeight="false" outlineLevel="0" collapsed="false"/>
    <row r="1597" customFormat="false" ht="15" hidden="false" customHeight="false" outlineLevel="0" collapsed="false"/>
    <row r="1598" customFormat="false" ht="15" hidden="false" customHeight="false" outlineLevel="0" collapsed="false"/>
    <row r="1599" customFormat="false" ht="15" hidden="false" customHeight="false" outlineLevel="0" collapsed="false"/>
    <row r="1600" customFormat="false" ht="15" hidden="false" customHeight="false" outlineLevel="0" collapsed="false"/>
    <row r="1601" customFormat="false" ht="15" hidden="false" customHeight="false" outlineLevel="0" collapsed="false"/>
    <row r="1602" customFormat="false" ht="15" hidden="false" customHeight="false" outlineLevel="0" collapsed="false"/>
    <row r="1603" customFormat="false" ht="15" hidden="false" customHeight="false" outlineLevel="0" collapsed="false"/>
    <row r="1604" customFormat="false" ht="15" hidden="false" customHeight="false" outlineLevel="0" collapsed="false"/>
    <row r="1605" customFormat="false" ht="15" hidden="false" customHeight="false" outlineLevel="0" collapsed="false"/>
    <row r="1606" customFormat="false" ht="15" hidden="false" customHeight="false" outlineLevel="0" collapsed="false"/>
    <row r="1607" customFormat="false" ht="15" hidden="false" customHeight="false" outlineLevel="0" collapsed="false"/>
    <row r="1608" customFormat="false" ht="15" hidden="false" customHeight="false" outlineLevel="0" collapsed="false"/>
    <row r="1609" customFormat="false" ht="15" hidden="false" customHeight="false" outlineLevel="0" collapsed="false"/>
    <row r="1610" customFormat="false" ht="15" hidden="false" customHeight="false" outlineLevel="0" collapsed="false"/>
    <row r="1611" customFormat="false" ht="15" hidden="false" customHeight="false" outlineLevel="0" collapsed="false"/>
    <row r="1612" customFormat="false" ht="15" hidden="false" customHeight="false" outlineLevel="0" collapsed="false"/>
    <row r="1613" customFormat="false" ht="15" hidden="false" customHeight="false" outlineLevel="0" collapsed="false"/>
    <row r="1614" customFormat="false" ht="15" hidden="false" customHeight="false" outlineLevel="0" collapsed="false"/>
    <row r="1615" customFormat="false" ht="15" hidden="false" customHeight="false" outlineLevel="0" collapsed="false"/>
    <row r="1616" customFormat="false" ht="15" hidden="false" customHeight="false" outlineLevel="0" collapsed="false"/>
    <row r="1617" customFormat="false" ht="15" hidden="false" customHeight="false" outlineLevel="0" collapsed="false"/>
    <row r="1618" customFormat="false" ht="15" hidden="false" customHeight="false" outlineLevel="0" collapsed="false"/>
    <row r="1619" customFormat="false" ht="15" hidden="false" customHeight="false" outlineLevel="0" collapsed="false"/>
    <row r="1620" customFormat="false" ht="15" hidden="false" customHeight="false" outlineLevel="0" collapsed="false"/>
    <row r="1621" customFormat="false" ht="15" hidden="false" customHeight="false" outlineLevel="0" collapsed="false"/>
    <row r="1622" customFormat="false" ht="15" hidden="false" customHeight="false" outlineLevel="0" collapsed="false"/>
    <row r="1623" customFormat="false" ht="15" hidden="false" customHeight="false" outlineLevel="0" collapsed="false"/>
    <row r="1624" customFormat="false" ht="15" hidden="false" customHeight="false" outlineLevel="0" collapsed="false"/>
    <row r="1625" customFormat="false" ht="15" hidden="false" customHeight="false" outlineLevel="0" collapsed="false"/>
    <row r="1626" customFormat="false" ht="15" hidden="false" customHeight="false" outlineLevel="0" collapsed="false"/>
    <row r="1627" customFormat="false" ht="15" hidden="false" customHeight="false" outlineLevel="0" collapsed="false"/>
    <row r="1628" customFormat="false" ht="15" hidden="false" customHeight="false" outlineLevel="0" collapsed="false"/>
    <row r="1629" customFormat="false" ht="15" hidden="false" customHeight="false" outlineLevel="0" collapsed="false"/>
    <row r="1630" customFormat="false" ht="15" hidden="false" customHeight="false" outlineLevel="0" collapsed="false"/>
    <row r="1631" customFormat="false" ht="15" hidden="false" customHeight="false" outlineLevel="0" collapsed="false"/>
    <row r="1632" customFormat="false" ht="15" hidden="false" customHeight="false" outlineLevel="0" collapsed="false"/>
    <row r="1633" customFormat="false" ht="15" hidden="false" customHeight="false" outlineLevel="0" collapsed="false"/>
    <row r="1634" customFormat="false" ht="15" hidden="false" customHeight="false" outlineLevel="0" collapsed="false"/>
    <row r="1635" customFormat="false" ht="15" hidden="false" customHeight="false" outlineLevel="0" collapsed="false"/>
    <row r="1636" customFormat="false" ht="15" hidden="false" customHeight="false" outlineLevel="0" collapsed="false"/>
    <row r="1637" customFormat="false" ht="15" hidden="false" customHeight="false" outlineLevel="0" collapsed="false"/>
    <row r="1638" customFormat="false" ht="15" hidden="false" customHeight="false" outlineLevel="0" collapsed="false"/>
    <row r="1639" customFormat="false" ht="15" hidden="false" customHeight="false" outlineLevel="0" collapsed="false"/>
    <row r="1640" customFormat="false" ht="15" hidden="false" customHeight="false" outlineLevel="0" collapsed="false"/>
    <row r="1641" customFormat="false" ht="15" hidden="false" customHeight="false" outlineLevel="0" collapsed="false"/>
    <row r="1642" customFormat="false" ht="15" hidden="false" customHeight="false" outlineLevel="0" collapsed="false"/>
    <row r="1643" customFormat="false" ht="15" hidden="false" customHeight="false" outlineLevel="0" collapsed="false"/>
    <row r="1644" customFormat="false" ht="15" hidden="false" customHeight="false" outlineLevel="0" collapsed="false"/>
    <row r="1645" customFormat="false" ht="15" hidden="false" customHeight="false" outlineLevel="0" collapsed="false"/>
    <row r="1646" customFormat="false" ht="15" hidden="false" customHeight="false" outlineLevel="0" collapsed="false"/>
    <row r="1647" customFormat="false" ht="15" hidden="false" customHeight="false" outlineLevel="0" collapsed="false"/>
    <row r="1648" customFormat="false" ht="15" hidden="false" customHeight="false" outlineLevel="0" collapsed="false"/>
    <row r="1649" customFormat="false" ht="15" hidden="false" customHeight="false" outlineLevel="0" collapsed="false"/>
    <row r="1650" customFormat="false" ht="15" hidden="false" customHeight="false" outlineLevel="0" collapsed="false"/>
    <row r="1651" customFormat="false" ht="15" hidden="false" customHeight="false" outlineLevel="0" collapsed="false"/>
    <row r="1652" customFormat="false" ht="15" hidden="false" customHeight="false" outlineLevel="0" collapsed="false"/>
    <row r="1653" customFormat="false" ht="15" hidden="false" customHeight="false" outlineLevel="0" collapsed="false"/>
    <row r="1654" customFormat="false" ht="15" hidden="false" customHeight="false" outlineLevel="0" collapsed="false"/>
    <row r="1655" customFormat="false" ht="15" hidden="false" customHeight="false" outlineLevel="0" collapsed="false"/>
    <row r="1656" customFormat="false" ht="15" hidden="false" customHeight="false" outlineLevel="0" collapsed="false"/>
    <row r="1657" customFormat="false" ht="15" hidden="false" customHeight="false" outlineLevel="0" collapsed="false"/>
    <row r="1658" customFormat="false" ht="15" hidden="false" customHeight="false" outlineLevel="0" collapsed="false"/>
    <row r="1659" customFormat="false" ht="15" hidden="false" customHeight="false" outlineLevel="0" collapsed="false"/>
    <row r="1660" customFormat="false" ht="15" hidden="false" customHeight="false" outlineLevel="0" collapsed="false"/>
    <row r="1661" customFormat="false" ht="15" hidden="false" customHeight="false" outlineLevel="0" collapsed="false"/>
    <row r="1662" customFormat="false" ht="15" hidden="false" customHeight="false" outlineLevel="0" collapsed="false"/>
    <row r="1663" customFormat="false" ht="15" hidden="false" customHeight="false" outlineLevel="0" collapsed="false"/>
    <row r="1664" customFormat="false" ht="15" hidden="false" customHeight="false" outlineLevel="0" collapsed="false"/>
    <row r="1665" customFormat="false" ht="15" hidden="false" customHeight="false" outlineLevel="0" collapsed="false"/>
    <row r="1666" customFormat="false" ht="15" hidden="false" customHeight="false" outlineLevel="0" collapsed="false"/>
    <row r="1667" customFormat="false" ht="15" hidden="false" customHeight="false" outlineLevel="0" collapsed="false"/>
    <row r="1668" customFormat="false" ht="15" hidden="false" customHeight="false" outlineLevel="0" collapsed="false"/>
    <row r="1669" customFormat="false" ht="15" hidden="false" customHeight="false" outlineLevel="0" collapsed="false"/>
    <row r="1670" customFormat="false" ht="15" hidden="false" customHeight="false" outlineLevel="0" collapsed="false"/>
    <row r="1671" customFormat="false" ht="15" hidden="false" customHeight="false" outlineLevel="0" collapsed="false"/>
    <row r="1672" customFormat="false" ht="15" hidden="false" customHeight="false" outlineLevel="0" collapsed="false"/>
    <row r="1673" customFormat="false" ht="15" hidden="false" customHeight="false" outlineLevel="0" collapsed="false"/>
    <row r="1674" customFormat="false" ht="15" hidden="false" customHeight="false" outlineLevel="0" collapsed="false"/>
    <row r="1675" customFormat="false" ht="15" hidden="false" customHeight="false" outlineLevel="0" collapsed="false"/>
    <row r="1676" customFormat="false" ht="15" hidden="false" customHeight="false" outlineLevel="0" collapsed="false"/>
    <row r="1677" customFormat="false" ht="15" hidden="false" customHeight="false" outlineLevel="0" collapsed="false"/>
    <row r="1678" customFormat="false" ht="15" hidden="false" customHeight="false" outlineLevel="0" collapsed="false"/>
    <row r="1679" customFormat="false" ht="15" hidden="false" customHeight="false" outlineLevel="0" collapsed="false"/>
    <row r="1680" customFormat="false" ht="15" hidden="false" customHeight="false" outlineLevel="0" collapsed="false"/>
    <row r="1681" customFormat="false" ht="15" hidden="false" customHeight="false" outlineLevel="0" collapsed="false"/>
    <row r="1682" customFormat="false" ht="15" hidden="false" customHeight="false" outlineLevel="0" collapsed="false"/>
    <row r="1683" customFormat="false" ht="15" hidden="false" customHeight="false" outlineLevel="0" collapsed="false"/>
    <row r="1684" customFormat="false" ht="15" hidden="false" customHeight="false" outlineLevel="0" collapsed="false"/>
    <row r="1685" customFormat="false" ht="15" hidden="false" customHeight="false" outlineLevel="0" collapsed="false"/>
    <row r="1686" customFormat="false" ht="15" hidden="false" customHeight="false" outlineLevel="0" collapsed="false"/>
    <row r="1687" customFormat="false" ht="15" hidden="false" customHeight="false" outlineLevel="0" collapsed="false"/>
    <row r="1688" customFormat="false" ht="15" hidden="false" customHeight="false" outlineLevel="0" collapsed="false"/>
    <row r="1689" customFormat="false" ht="15" hidden="false" customHeight="false" outlineLevel="0" collapsed="false"/>
    <row r="1690" customFormat="false" ht="15" hidden="false" customHeight="false" outlineLevel="0" collapsed="false"/>
    <row r="1691" customFormat="false" ht="15" hidden="false" customHeight="false" outlineLevel="0" collapsed="false"/>
    <row r="1692" customFormat="false" ht="15" hidden="false" customHeight="false" outlineLevel="0" collapsed="false"/>
    <row r="1693" customFormat="false" ht="15" hidden="false" customHeight="false" outlineLevel="0" collapsed="false"/>
    <row r="1694" customFormat="false" ht="15" hidden="false" customHeight="false" outlineLevel="0" collapsed="false"/>
    <row r="1695" customFormat="false" ht="15" hidden="false" customHeight="false" outlineLevel="0" collapsed="false"/>
    <row r="1696" customFormat="false" ht="15" hidden="false" customHeight="false" outlineLevel="0" collapsed="false"/>
    <row r="1697" customFormat="false" ht="15" hidden="false" customHeight="false" outlineLevel="0" collapsed="false"/>
    <row r="1698" customFormat="false" ht="15" hidden="false" customHeight="false" outlineLevel="0" collapsed="false"/>
    <row r="1699" customFormat="false" ht="15" hidden="false" customHeight="false" outlineLevel="0" collapsed="false"/>
    <row r="1700" customFormat="false" ht="15" hidden="false" customHeight="false" outlineLevel="0" collapsed="false"/>
    <row r="1701" customFormat="false" ht="15" hidden="false" customHeight="false" outlineLevel="0" collapsed="false"/>
    <row r="1702" customFormat="false" ht="15" hidden="false" customHeight="false" outlineLevel="0" collapsed="false"/>
    <row r="1703" customFormat="false" ht="15" hidden="false" customHeight="false" outlineLevel="0" collapsed="false"/>
    <row r="1704" customFormat="false" ht="15" hidden="false" customHeight="false" outlineLevel="0" collapsed="false"/>
    <row r="1705" customFormat="false" ht="15" hidden="false" customHeight="false" outlineLevel="0" collapsed="false"/>
    <row r="1706" customFormat="false" ht="15" hidden="false" customHeight="false" outlineLevel="0" collapsed="false"/>
    <row r="1707" customFormat="false" ht="15" hidden="false" customHeight="false" outlineLevel="0" collapsed="false"/>
    <row r="1708" customFormat="false" ht="15" hidden="false" customHeight="false" outlineLevel="0" collapsed="false"/>
    <row r="1709" customFormat="false" ht="15" hidden="false" customHeight="false" outlineLevel="0" collapsed="false"/>
    <row r="1710" customFormat="false" ht="15" hidden="false" customHeight="false" outlineLevel="0" collapsed="false"/>
    <row r="1711" customFormat="false" ht="15" hidden="false" customHeight="false" outlineLevel="0" collapsed="false"/>
    <row r="1712" customFormat="false" ht="15" hidden="false" customHeight="false" outlineLevel="0" collapsed="false"/>
    <row r="1713" customFormat="false" ht="15" hidden="false" customHeight="false" outlineLevel="0" collapsed="false"/>
    <row r="1714" customFormat="false" ht="15" hidden="false" customHeight="false" outlineLevel="0" collapsed="false"/>
    <row r="1715" customFormat="false" ht="15" hidden="false" customHeight="false" outlineLevel="0" collapsed="false"/>
    <row r="1716" customFormat="false" ht="15" hidden="false" customHeight="false" outlineLevel="0" collapsed="false"/>
    <row r="1717" customFormat="false" ht="15" hidden="false" customHeight="false" outlineLevel="0" collapsed="false"/>
    <row r="1718" customFormat="false" ht="15" hidden="false" customHeight="false" outlineLevel="0" collapsed="false"/>
    <row r="1719" customFormat="false" ht="15" hidden="false" customHeight="false" outlineLevel="0" collapsed="false"/>
    <row r="1720" customFormat="false" ht="15" hidden="false" customHeight="false" outlineLevel="0" collapsed="false"/>
    <row r="1721" customFormat="false" ht="15" hidden="false" customHeight="false" outlineLevel="0" collapsed="false"/>
    <row r="1722" customFormat="false" ht="15" hidden="false" customHeight="false" outlineLevel="0" collapsed="false"/>
    <row r="1723" customFormat="false" ht="15" hidden="false" customHeight="false" outlineLevel="0" collapsed="false"/>
    <row r="1724" customFormat="false" ht="15" hidden="false" customHeight="false" outlineLevel="0" collapsed="false"/>
    <row r="1725" customFormat="false" ht="15" hidden="false" customHeight="false" outlineLevel="0" collapsed="false"/>
    <row r="1726" customFormat="false" ht="15" hidden="false" customHeight="false" outlineLevel="0" collapsed="false"/>
    <row r="1727" customFormat="false" ht="15" hidden="false" customHeight="false" outlineLevel="0" collapsed="false"/>
    <row r="1728" customFormat="false" ht="15" hidden="false" customHeight="false" outlineLevel="0" collapsed="false"/>
    <row r="1729" customFormat="false" ht="15" hidden="false" customHeight="false" outlineLevel="0" collapsed="false"/>
    <row r="1730" customFormat="false" ht="15" hidden="false" customHeight="false" outlineLevel="0" collapsed="false"/>
    <row r="1731" customFormat="false" ht="15" hidden="false" customHeight="false" outlineLevel="0" collapsed="false"/>
    <row r="1732" customFormat="false" ht="15" hidden="false" customHeight="false" outlineLevel="0" collapsed="false"/>
    <row r="1733" customFormat="false" ht="15" hidden="false" customHeight="false" outlineLevel="0" collapsed="false"/>
    <row r="1734" customFormat="false" ht="15" hidden="false" customHeight="false" outlineLevel="0" collapsed="false"/>
    <row r="1735" customFormat="false" ht="15" hidden="false" customHeight="false" outlineLevel="0" collapsed="false"/>
    <row r="1736" customFormat="false" ht="15" hidden="false" customHeight="false" outlineLevel="0" collapsed="false"/>
    <row r="1737" customFormat="false" ht="15" hidden="false" customHeight="false" outlineLevel="0" collapsed="false"/>
    <row r="1738" customFormat="false" ht="15" hidden="false" customHeight="false" outlineLevel="0" collapsed="false"/>
    <row r="1739" customFormat="false" ht="15" hidden="false" customHeight="false" outlineLevel="0" collapsed="false"/>
    <row r="1740" customFormat="false" ht="15" hidden="false" customHeight="false" outlineLevel="0" collapsed="false"/>
    <row r="1741" customFormat="false" ht="15" hidden="false" customHeight="false" outlineLevel="0" collapsed="false"/>
    <row r="1742" customFormat="false" ht="15" hidden="false" customHeight="false" outlineLevel="0" collapsed="false"/>
    <row r="1743" customFormat="false" ht="15" hidden="false" customHeight="false" outlineLevel="0" collapsed="false"/>
    <row r="1744" customFormat="false" ht="15" hidden="false" customHeight="false" outlineLevel="0" collapsed="false"/>
    <row r="1745" customFormat="false" ht="15" hidden="false" customHeight="false" outlineLevel="0" collapsed="false"/>
    <row r="1746" customFormat="false" ht="15" hidden="false" customHeight="false" outlineLevel="0" collapsed="false"/>
    <row r="1747" customFormat="false" ht="15" hidden="false" customHeight="false" outlineLevel="0" collapsed="false"/>
    <row r="1748" customFormat="false" ht="15" hidden="false" customHeight="false" outlineLevel="0" collapsed="false"/>
    <row r="1749" customFormat="false" ht="15" hidden="false" customHeight="false" outlineLevel="0" collapsed="false"/>
    <row r="1750" customFormat="false" ht="15" hidden="false" customHeight="false" outlineLevel="0" collapsed="false"/>
    <row r="1751" customFormat="false" ht="15" hidden="false" customHeight="false" outlineLevel="0" collapsed="false"/>
    <row r="1752" customFormat="false" ht="15" hidden="false" customHeight="false" outlineLevel="0" collapsed="false"/>
    <row r="1753" customFormat="false" ht="15" hidden="false" customHeight="false" outlineLevel="0" collapsed="false"/>
    <row r="1754" customFormat="false" ht="15" hidden="false" customHeight="false" outlineLevel="0" collapsed="false"/>
    <row r="1755" customFormat="false" ht="15" hidden="false" customHeight="false" outlineLevel="0" collapsed="false"/>
    <row r="1756" customFormat="false" ht="15" hidden="false" customHeight="false" outlineLevel="0" collapsed="false"/>
    <row r="1757" customFormat="false" ht="15" hidden="false" customHeight="false" outlineLevel="0" collapsed="false"/>
    <row r="1758" customFormat="false" ht="15" hidden="false" customHeight="false" outlineLevel="0" collapsed="false"/>
    <row r="1759" customFormat="false" ht="15" hidden="false" customHeight="false" outlineLevel="0" collapsed="false"/>
    <row r="1760" customFormat="false" ht="15" hidden="false" customHeight="false" outlineLevel="0" collapsed="false"/>
    <row r="1761" customFormat="false" ht="15" hidden="false" customHeight="false" outlineLevel="0" collapsed="false"/>
    <row r="1762" customFormat="false" ht="15" hidden="false" customHeight="false" outlineLevel="0" collapsed="false"/>
    <row r="1763" customFormat="false" ht="15" hidden="false" customHeight="false" outlineLevel="0" collapsed="false"/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5" hidden="false" customHeight="false" outlineLevel="0" collapsed="false"/>
    <row r="1768" customFormat="false" ht="15" hidden="false" customHeight="false" outlineLevel="0" collapsed="false"/>
    <row r="1769" customFormat="false" ht="15" hidden="false" customHeight="false" outlineLevel="0" collapsed="false"/>
    <row r="1770" customFormat="false" ht="15" hidden="false" customHeight="false" outlineLevel="0" collapsed="false"/>
    <row r="1771" customFormat="false" ht="15" hidden="false" customHeight="false" outlineLevel="0" collapsed="false"/>
    <row r="1772" customFormat="false" ht="15" hidden="false" customHeight="false" outlineLevel="0" collapsed="false"/>
    <row r="1773" customFormat="false" ht="15" hidden="false" customHeight="false" outlineLevel="0" collapsed="false"/>
    <row r="1774" customFormat="false" ht="15" hidden="false" customHeight="false" outlineLevel="0" collapsed="false"/>
    <row r="1775" customFormat="false" ht="15" hidden="false" customHeight="false" outlineLevel="0" collapsed="false"/>
    <row r="1776" customFormat="false" ht="15" hidden="false" customHeight="false" outlineLevel="0" collapsed="false"/>
    <row r="1777" customFormat="false" ht="15" hidden="false" customHeight="false" outlineLevel="0" collapsed="false"/>
    <row r="1778" customFormat="false" ht="15" hidden="false" customHeight="false" outlineLevel="0" collapsed="false"/>
    <row r="1779" customFormat="false" ht="15" hidden="false" customHeight="false" outlineLevel="0" collapsed="false"/>
    <row r="1780" customFormat="false" ht="15" hidden="false" customHeight="false" outlineLevel="0" collapsed="false"/>
    <row r="1781" customFormat="false" ht="15" hidden="false" customHeight="false" outlineLevel="0" collapsed="false"/>
    <row r="1782" customFormat="false" ht="15" hidden="false" customHeight="false" outlineLevel="0" collapsed="false"/>
    <row r="1783" customFormat="false" ht="15" hidden="false" customHeight="false" outlineLevel="0" collapsed="false"/>
    <row r="1784" customFormat="false" ht="15" hidden="false" customHeight="false" outlineLevel="0" collapsed="false"/>
    <row r="1785" customFormat="false" ht="15" hidden="false" customHeight="false" outlineLevel="0" collapsed="false"/>
    <row r="1786" customFormat="false" ht="15" hidden="false" customHeight="false" outlineLevel="0" collapsed="false"/>
    <row r="1787" customFormat="false" ht="15" hidden="false" customHeight="false" outlineLevel="0" collapsed="false"/>
    <row r="1788" customFormat="false" ht="15" hidden="false" customHeight="false" outlineLevel="0" collapsed="false"/>
    <row r="1789" customFormat="false" ht="15" hidden="false" customHeight="false" outlineLevel="0" collapsed="false"/>
    <row r="1790" customFormat="false" ht="15" hidden="false" customHeight="false" outlineLevel="0" collapsed="false"/>
    <row r="1791" customFormat="false" ht="15" hidden="false" customHeight="false" outlineLevel="0" collapsed="false"/>
    <row r="1792" customFormat="false" ht="15" hidden="false" customHeight="false" outlineLevel="0" collapsed="false"/>
    <row r="1793" customFormat="false" ht="15" hidden="false" customHeight="false" outlineLevel="0" collapsed="false"/>
    <row r="1794" customFormat="false" ht="15" hidden="false" customHeight="false" outlineLevel="0" collapsed="false"/>
    <row r="1795" customFormat="false" ht="15" hidden="false" customHeight="false" outlineLevel="0" collapsed="false"/>
    <row r="1796" customFormat="false" ht="15" hidden="false" customHeight="false" outlineLevel="0" collapsed="false"/>
    <row r="1797" customFormat="false" ht="15" hidden="false" customHeight="false" outlineLevel="0" collapsed="false"/>
    <row r="1798" customFormat="false" ht="15" hidden="false" customHeight="false" outlineLevel="0" collapsed="false"/>
    <row r="1799" customFormat="false" ht="15" hidden="false" customHeight="false" outlineLevel="0" collapsed="false"/>
    <row r="1800" customFormat="false" ht="15" hidden="false" customHeight="false" outlineLevel="0" collapsed="false"/>
    <row r="1801" customFormat="false" ht="15" hidden="false" customHeight="false" outlineLevel="0" collapsed="false"/>
    <row r="1802" customFormat="false" ht="15" hidden="false" customHeight="false" outlineLevel="0" collapsed="false"/>
    <row r="1803" customFormat="false" ht="15" hidden="false" customHeight="false" outlineLevel="0" collapsed="false"/>
    <row r="1804" customFormat="false" ht="15" hidden="false" customHeight="false" outlineLevel="0" collapsed="false"/>
    <row r="1805" customFormat="false" ht="15" hidden="false" customHeight="false" outlineLevel="0" collapsed="false"/>
    <row r="1806" customFormat="false" ht="15" hidden="false" customHeight="false" outlineLevel="0" collapsed="false"/>
    <row r="1807" customFormat="false" ht="15" hidden="false" customHeight="false" outlineLevel="0" collapsed="false"/>
    <row r="1808" customFormat="false" ht="15" hidden="false" customHeight="false" outlineLevel="0" collapsed="false"/>
    <row r="1809" customFormat="false" ht="15" hidden="false" customHeight="false" outlineLevel="0" collapsed="false"/>
    <row r="1810" customFormat="false" ht="15" hidden="false" customHeight="false" outlineLevel="0" collapsed="false"/>
    <row r="1811" customFormat="false" ht="15" hidden="false" customHeight="false" outlineLevel="0" collapsed="false"/>
    <row r="1812" customFormat="false" ht="15" hidden="false" customHeight="false" outlineLevel="0" collapsed="false"/>
    <row r="1813" customFormat="false" ht="15" hidden="false" customHeight="false" outlineLevel="0" collapsed="false"/>
    <row r="1814" customFormat="false" ht="15" hidden="false" customHeight="false" outlineLevel="0" collapsed="false"/>
    <row r="1815" customFormat="false" ht="15" hidden="false" customHeight="false" outlineLevel="0" collapsed="false"/>
    <row r="1816" customFormat="false" ht="15" hidden="false" customHeight="false" outlineLevel="0" collapsed="false"/>
    <row r="1817" customFormat="false" ht="15" hidden="false" customHeight="false" outlineLevel="0" collapsed="false"/>
    <row r="1818" customFormat="false" ht="15" hidden="false" customHeight="false" outlineLevel="0" collapsed="false"/>
    <row r="1819" customFormat="false" ht="15" hidden="false" customHeight="false" outlineLevel="0" collapsed="false"/>
    <row r="1820" customFormat="false" ht="15" hidden="false" customHeight="false" outlineLevel="0" collapsed="false"/>
    <row r="1821" customFormat="false" ht="15" hidden="false" customHeight="false" outlineLevel="0" collapsed="false"/>
    <row r="1822" customFormat="false" ht="15" hidden="false" customHeight="false" outlineLevel="0" collapsed="false"/>
    <row r="1823" customFormat="false" ht="15" hidden="false" customHeight="false" outlineLevel="0" collapsed="false"/>
    <row r="1824" customFormat="false" ht="15" hidden="false" customHeight="false" outlineLevel="0" collapsed="false"/>
    <row r="1825" customFormat="false" ht="15" hidden="false" customHeight="false" outlineLevel="0" collapsed="false"/>
    <row r="1826" customFormat="false" ht="15" hidden="false" customHeight="false" outlineLevel="0" collapsed="false"/>
    <row r="1827" customFormat="false" ht="15" hidden="false" customHeight="false" outlineLevel="0" collapsed="false"/>
    <row r="1828" customFormat="false" ht="15" hidden="false" customHeight="false" outlineLevel="0" collapsed="false"/>
    <row r="1829" customFormat="false" ht="15" hidden="false" customHeight="false" outlineLevel="0" collapsed="false"/>
    <row r="1830" customFormat="false" ht="15" hidden="false" customHeight="false" outlineLevel="0" collapsed="false"/>
    <row r="1831" customFormat="false" ht="15" hidden="false" customHeight="false" outlineLevel="0" collapsed="false"/>
    <row r="1832" customFormat="false" ht="15" hidden="false" customHeight="false" outlineLevel="0" collapsed="false"/>
    <row r="1833" customFormat="false" ht="15" hidden="false" customHeight="false" outlineLevel="0" collapsed="false"/>
    <row r="1834" customFormat="false" ht="15" hidden="false" customHeight="false" outlineLevel="0" collapsed="false"/>
    <row r="1835" customFormat="false" ht="15" hidden="false" customHeight="false" outlineLevel="0" collapsed="false"/>
    <row r="1836" customFormat="false" ht="15" hidden="false" customHeight="false" outlineLevel="0" collapsed="false"/>
    <row r="1837" customFormat="false" ht="15" hidden="false" customHeight="false" outlineLevel="0" collapsed="false"/>
    <row r="1838" customFormat="false" ht="15" hidden="false" customHeight="false" outlineLevel="0" collapsed="false"/>
    <row r="1839" customFormat="false" ht="15" hidden="false" customHeight="false" outlineLevel="0" collapsed="false"/>
    <row r="1840" customFormat="false" ht="15" hidden="false" customHeight="false" outlineLevel="0" collapsed="false"/>
    <row r="1841" customFormat="false" ht="15" hidden="false" customHeight="false" outlineLevel="0" collapsed="false"/>
    <row r="1842" customFormat="false" ht="15" hidden="false" customHeight="false" outlineLevel="0" collapsed="false"/>
    <row r="1843" customFormat="false" ht="15" hidden="false" customHeight="false" outlineLevel="0" collapsed="false"/>
    <row r="1844" customFormat="false" ht="15" hidden="false" customHeight="false" outlineLevel="0" collapsed="false"/>
    <row r="1845" customFormat="false" ht="15" hidden="false" customHeight="false" outlineLevel="0" collapsed="false"/>
    <row r="1846" customFormat="false" ht="15" hidden="false" customHeight="false" outlineLevel="0" collapsed="false"/>
    <row r="1847" customFormat="false" ht="15" hidden="false" customHeight="false" outlineLevel="0" collapsed="false"/>
    <row r="1848" customFormat="false" ht="15" hidden="false" customHeight="false" outlineLevel="0" collapsed="false"/>
    <row r="1849" customFormat="false" ht="15" hidden="false" customHeight="false" outlineLevel="0" collapsed="false"/>
    <row r="1850" customFormat="false" ht="15" hidden="false" customHeight="false" outlineLevel="0" collapsed="false"/>
    <row r="1851" customFormat="false" ht="15" hidden="false" customHeight="false" outlineLevel="0" collapsed="false"/>
    <row r="1852" customFormat="false" ht="15" hidden="false" customHeight="false" outlineLevel="0" collapsed="false"/>
    <row r="1853" customFormat="false" ht="15" hidden="false" customHeight="false" outlineLevel="0" collapsed="false"/>
    <row r="1854" customFormat="false" ht="15" hidden="false" customHeight="false" outlineLevel="0" collapsed="false"/>
    <row r="1855" customFormat="false" ht="15" hidden="false" customHeight="false" outlineLevel="0" collapsed="false"/>
    <row r="1856" customFormat="false" ht="15" hidden="false" customHeight="false" outlineLevel="0" collapsed="false"/>
    <row r="1857" customFormat="false" ht="15" hidden="false" customHeight="false" outlineLevel="0" collapsed="false"/>
    <row r="1858" customFormat="false" ht="15" hidden="false" customHeight="false" outlineLevel="0" collapsed="false"/>
    <row r="1859" customFormat="false" ht="15" hidden="false" customHeight="false" outlineLevel="0" collapsed="false"/>
    <row r="1860" customFormat="false" ht="15" hidden="false" customHeight="false" outlineLevel="0" collapsed="false"/>
    <row r="1861" customFormat="false" ht="15" hidden="false" customHeight="false" outlineLevel="0" collapsed="false"/>
    <row r="1862" customFormat="false" ht="15" hidden="false" customHeight="false" outlineLevel="0" collapsed="false"/>
    <row r="1863" customFormat="false" ht="15" hidden="false" customHeight="false" outlineLevel="0" collapsed="false"/>
    <row r="1864" customFormat="false" ht="15" hidden="false" customHeight="false" outlineLevel="0" collapsed="false"/>
    <row r="1865" customFormat="false" ht="15" hidden="false" customHeight="false" outlineLevel="0" collapsed="false"/>
    <row r="1866" customFormat="false" ht="15" hidden="false" customHeight="false" outlineLevel="0" collapsed="false"/>
    <row r="1867" customFormat="false" ht="15" hidden="false" customHeight="false" outlineLevel="0" collapsed="false"/>
    <row r="1868" customFormat="false" ht="15" hidden="false" customHeight="false" outlineLevel="0" collapsed="false"/>
    <row r="1869" customFormat="false" ht="15" hidden="false" customHeight="false" outlineLevel="0" collapsed="false"/>
    <row r="1870" customFormat="false" ht="15" hidden="false" customHeight="false" outlineLevel="0" collapsed="false"/>
    <row r="1871" customFormat="false" ht="15" hidden="false" customHeight="false" outlineLevel="0" collapsed="false"/>
    <row r="1872" customFormat="false" ht="15" hidden="false" customHeight="false" outlineLevel="0" collapsed="false"/>
    <row r="1873" customFormat="false" ht="15" hidden="false" customHeight="false" outlineLevel="0" collapsed="false"/>
    <row r="1874" customFormat="false" ht="15" hidden="false" customHeight="false" outlineLevel="0" collapsed="false"/>
    <row r="1875" customFormat="false" ht="15" hidden="false" customHeight="false" outlineLevel="0" collapsed="false"/>
    <row r="1876" customFormat="false" ht="15" hidden="false" customHeight="false" outlineLevel="0" collapsed="false"/>
    <row r="1877" customFormat="false" ht="15" hidden="false" customHeight="false" outlineLevel="0" collapsed="false"/>
    <row r="1878" customFormat="false" ht="15" hidden="false" customHeight="false" outlineLevel="0" collapsed="false"/>
    <row r="1879" customFormat="false" ht="15" hidden="false" customHeight="false" outlineLevel="0" collapsed="false"/>
    <row r="1880" customFormat="false" ht="15" hidden="false" customHeight="false" outlineLevel="0" collapsed="false"/>
    <row r="1881" customFormat="false" ht="15" hidden="false" customHeight="false" outlineLevel="0" collapsed="false"/>
    <row r="1882" customFormat="false" ht="15" hidden="false" customHeight="false" outlineLevel="0" collapsed="false"/>
    <row r="1883" customFormat="false" ht="15" hidden="false" customHeight="false" outlineLevel="0" collapsed="false"/>
    <row r="1884" customFormat="false" ht="15" hidden="false" customHeight="false" outlineLevel="0" collapsed="false"/>
    <row r="1885" customFormat="false" ht="15" hidden="false" customHeight="false" outlineLevel="0" collapsed="false"/>
    <row r="1886" customFormat="false" ht="15" hidden="false" customHeight="false" outlineLevel="0" collapsed="false"/>
    <row r="1887" customFormat="false" ht="15" hidden="false" customHeight="false" outlineLevel="0" collapsed="false"/>
    <row r="1888" customFormat="false" ht="15" hidden="false" customHeight="false" outlineLevel="0" collapsed="false"/>
    <row r="1889" customFormat="false" ht="15" hidden="false" customHeight="false" outlineLevel="0" collapsed="false"/>
    <row r="1890" customFormat="false" ht="15" hidden="false" customHeight="false" outlineLevel="0" collapsed="false"/>
    <row r="1891" customFormat="false" ht="15" hidden="false" customHeight="false" outlineLevel="0" collapsed="false"/>
    <row r="1892" customFormat="false" ht="15" hidden="false" customHeight="false" outlineLevel="0" collapsed="false"/>
    <row r="1893" customFormat="false" ht="15" hidden="false" customHeight="false" outlineLevel="0" collapsed="false"/>
    <row r="1894" customFormat="false" ht="15" hidden="false" customHeight="false" outlineLevel="0" collapsed="false"/>
    <row r="1895" customFormat="false" ht="15" hidden="false" customHeight="false" outlineLevel="0" collapsed="false"/>
    <row r="1896" customFormat="false" ht="15" hidden="false" customHeight="false" outlineLevel="0" collapsed="false"/>
    <row r="1897" customFormat="false" ht="15" hidden="false" customHeight="false" outlineLevel="0" collapsed="false"/>
    <row r="1898" customFormat="false" ht="15" hidden="false" customHeight="false" outlineLevel="0" collapsed="false"/>
    <row r="1899" customFormat="false" ht="15" hidden="false" customHeight="false" outlineLevel="0" collapsed="false"/>
    <row r="1900" customFormat="false" ht="15" hidden="false" customHeight="false" outlineLevel="0" collapsed="false"/>
    <row r="1901" customFormat="false" ht="15" hidden="false" customHeight="false" outlineLevel="0" collapsed="false"/>
    <row r="1902" customFormat="false" ht="15" hidden="false" customHeight="false" outlineLevel="0" collapsed="false"/>
    <row r="1903" customFormat="false" ht="15" hidden="false" customHeight="false" outlineLevel="0" collapsed="false"/>
    <row r="1904" customFormat="false" ht="15" hidden="false" customHeight="false" outlineLevel="0" collapsed="false"/>
    <row r="1905" customFormat="false" ht="15" hidden="false" customHeight="false" outlineLevel="0" collapsed="false"/>
    <row r="1906" customFormat="false" ht="15" hidden="false" customHeight="false" outlineLevel="0" collapsed="false"/>
    <row r="1907" customFormat="false" ht="15" hidden="false" customHeight="false" outlineLevel="0" collapsed="false"/>
    <row r="1908" customFormat="false" ht="15" hidden="false" customHeight="false" outlineLevel="0" collapsed="false"/>
    <row r="1909" customFormat="false" ht="15" hidden="false" customHeight="false" outlineLevel="0" collapsed="false"/>
    <row r="1910" customFormat="false" ht="15" hidden="false" customHeight="false" outlineLevel="0" collapsed="false"/>
    <row r="1911" customFormat="false" ht="15" hidden="false" customHeight="false" outlineLevel="0" collapsed="false"/>
    <row r="1912" customFormat="false" ht="15" hidden="false" customHeight="false" outlineLevel="0" collapsed="false"/>
    <row r="1913" customFormat="false" ht="15" hidden="false" customHeight="false" outlineLevel="0" collapsed="false"/>
    <row r="1914" customFormat="false" ht="15" hidden="false" customHeight="false" outlineLevel="0" collapsed="false"/>
    <row r="1915" customFormat="false" ht="15" hidden="false" customHeight="false" outlineLevel="0" collapsed="false"/>
    <row r="1916" customFormat="false" ht="15" hidden="false" customHeight="false" outlineLevel="0" collapsed="false"/>
    <row r="1917" customFormat="false" ht="15" hidden="false" customHeight="false" outlineLevel="0" collapsed="false"/>
    <row r="1918" customFormat="false" ht="15" hidden="false" customHeight="false" outlineLevel="0" collapsed="false"/>
    <row r="1919" customFormat="false" ht="15" hidden="false" customHeight="false" outlineLevel="0" collapsed="false"/>
    <row r="1920" customFormat="false" ht="15" hidden="false" customHeight="false" outlineLevel="0" collapsed="false"/>
    <row r="1921" customFormat="false" ht="15" hidden="false" customHeight="false" outlineLevel="0" collapsed="false"/>
    <row r="1922" customFormat="false" ht="15" hidden="false" customHeight="false" outlineLevel="0" collapsed="false"/>
    <row r="1923" customFormat="false" ht="15" hidden="false" customHeight="false" outlineLevel="0" collapsed="false"/>
    <row r="1924" customFormat="false" ht="15" hidden="false" customHeight="false" outlineLevel="0" collapsed="false"/>
    <row r="1925" customFormat="false" ht="15" hidden="false" customHeight="false" outlineLevel="0" collapsed="false"/>
    <row r="1926" customFormat="false" ht="15" hidden="false" customHeight="false" outlineLevel="0" collapsed="false"/>
    <row r="1927" customFormat="false" ht="15" hidden="false" customHeight="false" outlineLevel="0" collapsed="false"/>
    <row r="1928" customFormat="false" ht="15" hidden="false" customHeight="false" outlineLevel="0" collapsed="false"/>
    <row r="1929" customFormat="false" ht="15" hidden="false" customHeight="false" outlineLevel="0" collapsed="false"/>
    <row r="1930" customFormat="false" ht="15" hidden="false" customHeight="false" outlineLevel="0" collapsed="false"/>
    <row r="1931" customFormat="false" ht="15" hidden="false" customHeight="false" outlineLevel="0" collapsed="false"/>
    <row r="1932" customFormat="false" ht="15" hidden="false" customHeight="false" outlineLevel="0" collapsed="false"/>
    <row r="1933" customFormat="false" ht="15" hidden="false" customHeight="false" outlineLevel="0" collapsed="false"/>
    <row r="1934" customFormat="false" ht="15" hidden="false" customHeight="false" outlineLevel="0" collapsed="false"/>
    <row r="1935" customFormat="false" ht="15" hidden="false" customHeight="false" outlineLevel="0" collapsed="false"/>
    <row r="1936" customFormat="false" ht="15" hidden="false" customHeight="false" outlineLevel="0" collapsed="false"/>
    <row r="1937" customFormat="false" ht="15" hidden="false" customHeight="false" outlineLevel="0" collapsed="false"/>
    <row r="1938" customFormat="false" ht="15" hidden="false" customHeight="false" outlineLevel="0" collapsed="false"/>
    <row r="1939" customFormat="false" ht="15" hidden="false" customHeight="false" outlineLevel="0" collapsed="false"/>
    <row r="1940" customFormat="false" ht="15" hidden="false" customHeight="false" outlineLevel="0" collapsed="false"/>
    <row r="1941" customFormat="false" ht="15" hidden="false" customHeight="false" outlineLevel="0" collapsed="false"/>
    <row r="1942" customFormat="false" ht="15" hidden="false" customHeight="false" outlineLevel="0" collapsed="false"/>
    <row r="1943" customFormat="false" ht="15" hidden="false" customHeight="false" outlineLevel="0" collapsed="false"/>
    <row r="1944" customFormat="false" ht="15" hidden="false" customHeight="false" outlineLevel="0" collapsed="false"/>
    <row r="1945" customFormat="false" ht="15" hidden="false" customHeight="false" outlineLevel="0" collapsed="false"/>
    <row r="1946" customFormat="false" ht="15" hidden="false" customHeight="false" outlineLevel="0" collapsed="false"/>
    <row r="1947" customFormat="false" ht="15" hidden="false" customHeight="false" outlineLevel="0" collapsed="false"/>
    <row r="1948" customFormat="false" ht="15" hidden="false" customHeight="false" outlineLevel="0" collapsed="false"/>
    <row r="1949" customFormat="false" ht="15" hidden="false" customHeight="false" outlineLevel="0" collapsed="false"/>
    <row r="1950" customFormat="false" ht="15" hidden="false" customHeight="false" outlineLevel="0" collapsed="false"/>
    <row r="1951" customFormat="false" ht="15" hidden="false" customHeight="false" outlineLevel="0" collapsed="false"/>
    <row r="1952" customFormat="false" ht="15" hidden="false" customHeight="false" outlineLevel="0" collapsed="false"/>
    <row r="1953" customFormat="false" ht="15" hidden="false" customHeight="false" outlineLevel="0" collapsed="false"/>
    <row r="1954" customFormat="false" ht="15" hidden="false" customHeight="false" outlineLevel="0" collapsed="false"/>
    <row r="1955" customFormat="false" ht="15" hidden="false" customHeight="false" outlineLevel="0" collapsed="false"/>
    <row r="1956" customFormat="false" ht="15" hidden="false" customHeight="false" outlineLevel="0" collapsed="false"/>
    <row r="1957" customFormat="false" ht="15" hidden="false" customHeight="false" outlineLevel="0" collapsed="false"/>
    <row r="1958" customFormat="false" ht="15" hidden="false" customHeight="false" outlineLevel="0" collapsed="false"/>
    <row r="1959" customFormat="false" ht="15" hidden="false" customHeight="false" outlineLevel="0" collapsed="false"/>
    <row r="1960" customFormat="false" ht="15" hidden="false" customHeight="false" outlineLevel="0" collapsed="false"/>
    <row r="1961" customFormat="false" ht="15" hidden="false" customHeight="false" outlineLevel="0" collapsed="false"/>
    <row r="1962" customFormat="false" ht="15" hidden="false" customHeight="false" outlineLevel="0" collapsed="false"/>
    <row r="1963" customFormat="false" ht="15" hidden="false" customHeight="false" outlineLevel="0" collapsed="false"/>
    <row r="1964" customFormat="false" ht="15" hidden="false" customHeight="false" outlineLevel="0" collapsed="false"/>
    <row r="1965" customFormat="false" ht="15" hidden="false" customHeight="false" outlineLevel="0" collapsed="false"/>
    <row r="1966" customFormat="false" ht="15" hidden="false" customHeight="false" outlineLevel="0" collapsed="false"/>
    <row r="1967" customFormat="false" ht="15" hidden="false" customHeight="false" outlineLevel="0" collapsed="false"/>
    <row r="1968" customFormat="false" ht="15" hidden="false" customHeight="false" outlineLevel="0" collapsed="false"/>
    <row r="1969" customFormat="false" ht="15" hidden="false" customHeight="false" outlineLevel="0" collapsed="false"/>
    <row r="1970" customFormat="false" ht="15" hidden="false" customHeight="false" outlineLevel="0" collapsed="false"/>
    <row r="1971" customFormat="false" ht="15" hidden="false" customHeight="false" outlineLevel="0" collapsed="false"/>
    <row r="1972" customFormat="false" ht="15" hidden="false" customHeight="false" outlineLevel="0" collapsed="false"/>
    <row r="1973" customFormat="false" ht="15" hidden="false" customHeight="false" outlineLevel="0" collapsed="false"/>
    <row r="1974" customFormat="false" ht="15" hidden="false" customHeight="false" outlineLevel="0" collapsed="false"/>
    <row r="1975" customFormat="false" ht="15" hidden="false" customHeight="false" outlineLevel="0" collapsed="false"/>
    <row r="1976" customFormat="false" ht="15" hidden="false" customHeight="false" outlineLevel="0" collapsed="false"/>
    <row r="1977" customFormat="false" ht="15" hidden="false" customHeight="false" outlineLevel="0" collapsed="false"/>
    <row r="1978" customFormat="false" ht="15" hidden="false" customHeight="false" outlineLevel="0" collapsed="false"/>
    <row r="1979" customFormat="false" ht="15" hidden="false" customHeight="false" outlineLevel="0" collapsed="false"/>
    <row r="1980" customFormat="false" ht="15" hidden="false" customHeight="false" outlineLevel="0" collapsed="false"/>
    <row r="1981" customFormat="false" ht="15" hidden="false" customHeight="false" outlineLevel="0" collapsed="false"/>
    <row r="1982" customFormat="false" ht="15" hidden="false" customHeight="false" outlineLevel="0" collapsed="false"/>
    <row r="1983" customFormat="false" ht="15" hidden="false" customHeight="false" outlineLevel="0" collapsed="false"/>
    <row r="1984" customFormat="false" ht="15" hidden="false" customHeight="false" outlineLevel="0" collapsed="false"/>
    <row r="1985" customFormat="false" ht="15" hidden="false" customHeight="false" outlineLevel="0" collapsed="false"/>
    <row r="1986" customFormat="false" ht="15" hidden="false" customHeight="false" outlineLevel="0" collapsed="false"/>
    <row r="1987" customFormat="false" ht="15" hidden="false" customHeight="false" outlineLevel="0" collapsed="false"/>
    <row r="1988" customFormat="false" ht="15" hidden="false" customHeight="false" outlineLevel="0" collapsed="false"/>
    <row r="1989" customFormat="false" ht="15" hidden="false" customHeight="false" outlineLevel="0" collapsed="false"/>
    <row r="1990" customFormat="false" ht="15" hidden="false" customHeight="false" outlineLevel="0" collapsed="false"/>
    <row r="1991" customFormat="false" ht="15" hidden="false" customHeight="false" outlineLevel="0" collapsed="false"/>
    <row r="1992" customFormat="false" ht="15" hidden="false" customHeight="false" outlineLevel="0" collapsed="false"/>
    <row r="1993" customFormat="false" ht="15" hidden="false" customHeight="false" outlineLevel="0" collapsed="false"/>
    <row r="1994" customFormat="false" ht="15" hidden="false" customHeight="false" outlineLevel="0" collapsed="false"/>
    <row r="1995" customFormat="false" ht="15" hidden="false" customHeight="false" outlineLevel="0" collapsed="false"/>
    <row r="1996" customFormat="false" ht="15" hidden="false" customHeight="false" outlineLevel="0" collapsed="false"/>
    <row r="1997" customFormat="false" ht="15" hidden="false" customHeight="false" outlineLevel="0" collapsed="false"/>
    <row r="1998" customFormat="false" ht="15" hidden="false" customHeight="false" outlineLevel="0" collapsed="false"/>
    <row r="1999" customFormat="false" ht="15" hidden="false" customHeight="false" outlineLevel="0" collapsed="false"/>
    <row r="2000" customFormat="false" ht="15" hidden="false" customHeight="false" outlineLevel="0" collapsed="false"/>
    <row r="2001" customFormat="false" ht="15" hidden="false" customHeight="false" outlineLevel="0" collapsed="false"/>
    <row r="2002" customFormat="false" ht="15" hidden="false" customHeight="false" outlineLevel="0" collapsed="false"/>
    <row r="2003" customFormat="false" ht="15" hidden="false" customHeight="false" outlineLevel="0" collapsed="false"/>
    <row r="2004" customFormat="false" ht="15" hidden="false" customHeight="false" outlineLevel="0" collapsed="false"/>
    <row r="2005" customFormat="false" ht="15" hidden="false" customHeight="false" outlineLevel="0" collapsed="false"/>
    <row r="2006" customFormat="false" ht="15" hidden="false" customHeight="false" outlineLevel="0" collapsed="false"/>
    <row r="2007" customFormat="false" ht="15" hidden="false" customHeight="false" outlineLevel="0" collapsed="false"/>
    <row r="2008" customFormat="false" ht="15" hidden="false" customHeight="false" outlineLevel="0" collapsed="false"/>
    <row r="2009" customFormat="false" ht="15" hidden="false" customHeight="false" outlineLevel="0" collapsed="false"/>
    <row r="2010" customFormat="false" ht="15" hidden="false" customHeight="false" outlineLevel="0" collapsed="false"/>
    <row r="2011" customFormat="false" ht="15" hidden="false" customHeight="false" outlineLevel="0" collapsed="false"/>
    <row r="2012" customFormat="false" ht="15" hidden="false" customHeight="false" outlineLevel="0" collapsed="false"/>
    <row r="2013" customFormat="false" ht="15" hidden="false" customHeight="false" outlineLevel="0" collapsed="false"/>
    <row r="2014" customFormat="false" ht="15" hidden="false" customHeight="false" outlineLevel="0" collapsed="false"/>
    <row r="2015" customFormat="false" ht="15" hidden="false" customHeight="false" outlineLevel="0" collapsed="false"/>
    <row r="2016" customFormat="false" ht="15" hidden="false" customHeight="false" outlineLevel="0" collapsed="false"/>
    <row r="2017" customFormat="false" ht="15" hidden="false" customHeight="false" outlineLevel="0" collapsed="false"/>
    <row r="2018" customFormat="false" ht="15" hidden="false" customHeight="false" outlineLevel="0" collapsed="false"/>
    <row r="2019" customFormat="false" ht="15" hidden="false" customHeight="false" outlineLevel="0" collapsed="false"/>
    <row r="2020" customFormat="false" ht="15" hidden="false" customHeight="false" outlineLevel="0" collapsed="false"/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5" hidden="false" customHeight="false" outlineLevel="0" collapsed="false"/>
    <row r="2025" customFormat="false" ht="15" hidden="false" customHeight="false" outlineLevel="0" collapsed="false"/>
    <row r="2026" customFormat="false" ht="15" hidden="false" customHeight="false" outlineLevel="0" collapsed="false"/>
    <row r="2027" customFormat="false" ht="15" hidden="false" customHeight="false" outlineLevel="0" collapsed="false"/>
    <row r="2028" customFormat="false" ht="15" hidden="false" customHeight="false" outlineLevel="0" collapsed="false"/>
    <row r="2029" customFormat="false" ht="15" hidden="false" customHeight="false" outlineLevel="0" collapsed="false"/>
    <row r="2030" customFormat="false" ht="15" hidden="false" customHeight="false" outlineLevel="0" collapsed="false"/>
    <row r="2031" customFormat="false" ht="15" hidden="false" customHeight="false" outlineLevel="0" collapsed="false"/>
    <row r="2032" customFormat="false" ht="15" hidden="false" customHeight="false" outlineLevel="0" collapsed="false"/>
    <row r="2033" customFormat="false" ht="15" hidden="false" customHeight="false" outlineLevel="0" collapsed="false"/>
    <row r="2034" customFormat="false" ht="15" hidden="false" customHeight="false" outlineLevel="0" collapsed="false"/>
    <row r="2035" customFormat="false" ht="15" hidden="false" customHeight="false" outlineLevel="0" collapsed="false"/>
    <row r="2036" customFormat="false" ht="15" hidden="false" customHeight="false" outlineLevel="0" collapsed="false"/>
    <row r="2037" customFormat="false" ht="15" hidden="false" customHeight="false" outlineLevel="0" collapsed="false"/>
    <row r="2038" customFormat="false" ht="15" hidden="false" customHeight="false" outlineLevel="0" collapsed="false"/>
    <row r="2039" customFormat="false" ht="15" hidden="false" customHeight="false" outlineLevel="0" collapsed="false"/>
    <row r="2040" customFormat="false" ht="15" hidden="false" customHeight="false" outlineLevel="0" collapsed="false"/>
    <row r="2041" customFormat="false" ht="15" hidden="false" customHeight="false" outlineLevel="0" collapsed="false"/>
    <row r="2042" customFormat="false" ht="15" hidden="false" customHeight="false" outlineLevel="0" collapsed="false"/>
    <row r="2043" customFormat="false" ht="15" hidden="false" customHeight="false" outlineLevel="0" collapsed="false"/>
    <row r="2044" customFormat="false" ht="15" hidden="false" customHeight="false" outlineLevel="0" collapsed="false"/>
    <row r="2045" customFormat="false" ht="15" hidden="false" customHeight="false" outlineLevel="0" collapsed="false"/>
    <row r="2046" customFormat="false" ht="15" hidden="false" customHeight="false" outlineLevel="0" collapsed="false"/>
    <row r="2047" customFormat="false" ht="15" hidden="false" customHeight="false" outlineLevel="0" collapsed="false"/>
    <row r="2048" customFormat="false" ht="15" hidden="false" customHeight="false" outlineLevel="0" collapsed="false"/>
    <row r="2049" customFormat="false" ht="15" hidden="false" customHeight="false" outlineLevel="0" collapsed="false"/>
    <row r="2050" customFormat="false" ht="15" hidden="false" customHeight="false" outlineLevel="0" collapsed="false"/>
    <row r="2051" customFormat="false" ht="15" hidden="false" customHeight="false" outlineLevel="0" collapsed="false"/>
    <row r="2052" customFormat="false" ht="15" hidden="false" customHeight="false" outlineLevel="0" collapsed="false"/>
    <row r="2053" customFormat="false" ht="15" hidden="false" customHeight="false" outlineLevel="0" collapsed="false"/>
    <row r="2054" customFormat="false" ht="15" hidden="false" customHeight="false" outlineLevel="0" collapsed="false"/>
    <row r="2055" customFormat="false" ht="15" hidden="false" customHeight="false" outlineLevel="0" collapsed="false"/>
    <row r="2056" customFormat="false" ht="15" hidden="false" customHeight="false" outlineLevel="0" collapsed="false"/>
    <row r="2057" customFormat="false" ht="15" hidden="false" customHeight="false" outlineLevel="0" collapsed="false"/>
    <row r="2058" customFormat="false" ht="15" hidden="false" customHeight="false" outlineLevel="0" collapsed="false"/>
    <row r="2059" customFormat="false" ht="15" hidden="false" customHeight="false" outlineLevel="0" collapsed="false"/>
    <row r="2060" customFormat="false" ht="15" hidden="false" customHeight="false" outlineLevel="0" collapsed="false"/>
    <row r="2061" customFormat="false" ht="15" hidden="false" customHeight="false" outlineLevel="0" collapsed="false"/>
    <row r="2062" customFormat="false" ht="15" hidden="false" customHeight="false" outlineLevel="0" collapsed="false"/>
    <row r="2063" customFormat="false" ht="15" hidden="false" customHeight="false" outlineLevel="0" collapsed="false"/>
    <row r="2064" customFormat="false" ht="15" hidden="false" customHeight="false" outlineLevel="0" collapsed="false"/>
    <row r="2065" customFormat="false" ht="15" hidden="false" customHeight="false" outlineLevel="0" collapsed="false"/>
    <row r="2066" customFormat="false" ht="15" hidden="false" customHeight="false" outlineLevel="0" collapsed="false"/>
    <row r="2067" customFormat="false" ht="15" hidden="false" customHeight="false" outlineLevel="0" collapsed="false"/>
    <row r="2068" customFormat="false" ht="15" hidden="false" customHeight="false" outlineLevel="0" collapsed="false"/>
    <row r="2069" customFormat="false" ht="15" hidden="false" customHeight="false" outlineLevel="0" collapsed="false"/>
    <row r="2070" customFormat="false" ht="15" hidden="false" customHeight="false" outlineLevel="0" collapsed="false"/>
    <row r="2071" customFormat="false" ht="15" hidden="false" customHeight="false" outlineLevel="0" collapsed="false"/>
    <row r="2072" customFormat="false" ht="15" hidden="false" customHeight="false" outlineLevel="0" collapsed="false"/>
    <row r="2073" customFormat="false" ht="15" hidden="false" customHeight="false" outlineLevel="0" collapsed="false"/>
    <row r="2074" customFormat="false" ht="15" hidden="false" customHeight="false" outlineLevel="0" collapsed="false"/>
    <row r="2075" customFormat="false" ht="15" hidden="false" customHeight="false" outlineLevel="0" collapsed="false"/>
    <row r="2076" customFormat="false" ht="15" hidden="false" customHeight="false" outlineLevel="0" collapsed="false"/>
    <row r="2077" customFormat="false" ht="15" hidden="false" customHeight="false" outlineLevel="0" collapsed="false"/>
    <row r="2078" customFormat="false" ht="15" hidden="false" customHeight="false" outlineLevel="0" collapsed="false"/>
    <row r="2079" customFormat="false" ht="15" hidden="false" customHeight="false" outlineLevel="0" collapsed="false"/>
    <row r="2080" customFormat="false" ht="15" hidden="false" customHeight="false" outlineLevel="0" collapsed="false"/>
    <row r="2081" customFormat="false" ht="15" hidden="false" customHeight="false" outlineLevel="0" collapsed="false"/>
    <row r="2082" customFormat="false" ht="15" hidden="false" customHeight="false" outlineLevel="0" collapsed="false"/>
    <row r="2083" customFormat="false" ht="15" hidden="false" customHeight="false" outlineLevel="0" collapsed="false"/>
    <row r="2084" customFormat="false" ht="15" hidden="false" customHeight="false" outlineLevel="0" collapsed="false"/>
    <row r="2085" customFormat="false" ht="15" hidden="false" customHeight="false" outlineLevel="0" collapsed="false"/>
    <row r="2086" customFormat="false" ht="15" hidden="false" customHeight="false" outlineLevel="0" collapsed="false"/>
    <row r="2087" customFormat="false" ht="15" hidden="false" customHeight="false" outlineLevel="0" collapsed="false"/>
    <row r="2088" customFormat="false" ht="15" hidden="false" customHeight="false" outlineLevel="0" collapsed="false"/>
    <row r="2089" customFormat="false" ht="15" hidden="false" customHeight="false" outlineLevel="0" collapsed="false"/>
    <row r="2090" customFormat="false" ht="15" hidden="false" customHeight="false" outlineLevel="0" collapsed="false"/>
    <row r="2091" customFormat="false" ht="15" hidden="false" customHeight="false" outlineLevel="0" collapsed="false"/>
    <row r="2092" customFormat="false" ht="15" hidden="false" customHeight="false" outlineLevel="0" collapsed="false"/>
    <row r="2093" customFormat="false" ht="15" hidden="false" customHeight="false" outlineLevel="0" collapsed="false"/>
    <row r="2094" customFormat="false" ht="15" hidden="false" customHeight="false" outlineLevel="0" collapsed="false"/>
    <row r="2095" customFormat="false" ht="15" hidden="false" customHeight="false" outlineLevel="0" collapsed="false"/>
    <row r="2096" customFormat="false" ht="15" hidden="false" customHeight="false" outlineLevel="0" collapsed="false"/>
    <row r="2097" customFormat="false" ht="15" hidden="false" customHeight="false" outlineLevel="0" collapsed="false"/>
    <row r="2098" customFormat="false" ht="15" hidden="false" customHeight="false" outlineLevel="0" collapsed="false"/>
    <row r="2099" customFormat="false" ht="15" hidden="false" customHeight="false" outlineLevel="0" collapsed="false"/>
    <row r="2100" customFormat="false" ht="15" hidden="false" customHeight="false" outlineLevel="0" collapsed="false"/>
    <row r="2101" customFormat="false" ht="15" hidden="false" customHeight="false" outlineLevel="0" collapsed="false"/>
    <row r="2102" customFormat="false" ht="15" hidden="false" customHeight="false" outlineLevel="0" collapsed="false"/>
    <row r="2103" customFormat="false" ht="15" hidden="false" customHeight="false" outlineLevel="0" collapsed="false"/>
    <row r="2104" customFormat="false" ht="15" hidden="false" customHeight="false" outlineLevel="0" collapsed="false"/>
    <row r="2105" customFormat="false" ht="15" hidden="false" customHeight="false" outlineLevel="0" collapsed="false"/>
    <row r="2106" customFormat="false" ht="15" hidden="false" customHeight="false" outlineLevel="0" collapsed="false"/>
    <row r="2107" customFormat="false" ht="15" hidden="false" customHeight="false" outlineLevel="0" collapsed="false"/>
    <row r="2108" customFormat="false" ht="15" hidden="false" customHeight="false" outlineLevel="0" collapsed="false"/>
    <row r="2109" customFormat="false" ht="15" hidden="false" customHeight="false" outlineLevel="0" collapsed="false"/>
    <row r="2110" customFormat="false" ht="15" hidden="false" customHeight="false" outlineLevel="0" collapsed="false"/>
    <row r="2111" customFormat="false" ht="15" hidden="false" customHeight="false" outlineLevel="0" collapsed="false"/>
    <row r="2112" customFormat="false" ht="15" hidden="false" customHeight="false" outlineLevel="0" collapsed="false"/>
    <row r="2113" customFormat="false" ht="15" hidden="false" customHeight="false" outlineLevel="0" collapsed="false"/>
    <row r="2114" customFormat="false" ht="15" hidden="false" customHeight="false" outlineLevel="0" collapsed="false"/>
    <row r="2115" customFormat="false" ht="15" hidden="false" customHeight="false" outlineLevel="0" collapsed="false"/>
    <row r="2116" customFormat="false" ht="15" hidden="false" customHeight="false" outlineLevel="0" collapsed="false"/>
    <row r="2117" customFormat="false" ht="15" hidden="false" customHeight="false" outlineLevel="0" collapsed="false"/>
    <row r="2118" customFormat="false" ht="15" hidden="false" customHeight="false" outlineLevel="0" collapsed="false"/>
    <row r="2119" customFormat="false" ht="15" hidden="false" customHeight="false" outlineLevel="0" collapsed="false"/>
    <row r="2120" customFormat="false" ht="15" hidden="false" customHeight="false" outlineLevel="0" collapsed="false"/>
    <row r="2121" customFormat="false" ht="15" hidden="false" customHeight="false" outlineLevel="0" collapsed="false"/>
    <row r="2122" customFormat="false" ht="15" hidden="false" customHeight="false" outlineLevel="0" collapsed="false"/>
    <row r="2123" customFormat="false" ht="15" hidden="false" customHeight="false" outlineLevel="0" collapsed="false"/>
    <row r="2124" customFormat="false" ht="15" hidden="false" customHeight="false" outlineLevel="0" collapsed="false"/>
    <row r="2125" customFormat="false" ht="15" hidden="false" customHeight="false" outlineLevel="0" collapsed="false"/>
    <row r="2126" customFormat="false" ht="15" hidden="false" customHeight="false" outlineLevel="0" collapsed="false"/>
    <row r="2127" customFormat="false" ht="15" hidden="false" customHeight="false" outlineLevel="0" collapsed="false"/>
    <row r="2128" customFormat="false" ht="15" hidden="false" customHeight="false" outlineLevel="0" collapsed="false"/>
    <row r="2129" customFormat="false" ht="15" hidden="false" customHeight="false" outlineLevel="0" collapsed="false"/>
    <row r="2130" customFormat="false" ht="15" hidden="false" customHeight="false" outlineLevel="0" collapsed="false"/>
    <row r="2131" customFormat="false" ht="15" hidden="false" customHeight="false" outlineLevel="0" collapsed="false"/>
    <row r="2132" customFormat="false" ht="15" hidden="false" customHeight="false" outlineLevel="0" collapsed="false"/>
    <row r="2133" customFormat="false" ht="15" hidden="false" customHeight="false" outlineLevel="0" collapsed="false"/>
    <row r="2134" customFormat="false" ht="15" hidden="false" customHeight="false" outlineLevel="0" collapsed="false"/>
    <row r="2135" customFormat="false" ht="15" hidden="false" customHeight="false" outlineLevel="0" collapsed="false"/>
    <row r="2136" customFormat="false" ht="15" hidden="false" customHeight="false" outlineLevel="0" collapsed="false"/>
    <row r="2137" customFormat="false" ht="15" hidden="false" customHeight="false" outlineLevel="0" collapsed="false"/>
    <row r="2138" customFormat="false" ht="15" hidden="false" customHeight="false" outlineLevel="0" collapsed="false"/>
    <row r="2139" customFormat="false" ht="15" hidden="false" customHeight="false" outlineLevel="0" collapsed="false"/>
    <row r="2140" customFormat="false" ht="15" hidden="false" customHeight="false" outlineLevel="0" collapsed="false"/>
    <row r="2141" customFormat="false" ht="15" hidden="false" customHeight="false" outlineLevel="0" collapsed="false"/>
    <row r="2142" customFormat="false" ht="15" hidden="false" customHeight="false" outlineLevel="0" collapsed="false"/>
    <row r="2143" customFormat="false" ht="15" hidden="false" customHeight="false" outlineLevel="0" collapsed="false"/>
    <row r="2144" customFormat="false" ht="15" hidden="false" customHeight="false" outlineLevel="0" collapsed="false"/>
    <row r="2145" customFormat="false" ht="15" hidden="false" customHeight="false" outlineLevel="0" collapsed="false"/>
    <row r="2146" customFormat="false" ht="15" hidden="false" customHeight="false" outlineLevel="0" collapsed="false"/>
    <row r="2147" customFormat="false" ht="15" hidden="false" customHeight="false" outlineLevel="0" collapsed="false"/>
    <row r="2148" customFormat="false" ht="15" hidden="false" customHeight="false" outlineLevel="0" collapsed="false"/>
    <row r="2149" customFormat="false" ht="15" hidden="false" customHeight="false" outlineLevel="0" collapsed="false"/>
    <row r="2150" customFormat="false" ht="15" hidden="false" customHeight="false" outlineLevel="0" collapsed="false"/>
    <row r="2151" customFormat="false" ht="15" hidden="false" customHeight="false" outlineLevel="0" collapsed="false"/>
    <row r="2152" customFormat="false" ht="15" hidden="false" customHeight="false" outlineLevel="0" collapsed="false"/>
    <row r="2153" customFormat="false" ht="15" hidden="false" customHeight="false" outlineLevel="0" collapsed="false"/>
    <row r="2154" customFormat="false" ht="15" hidden="false" customHeight="false" outlineLevel="0" collapsed="false"/>
    <row r="2155" customFormat="false" ht="15" hidden="false" customHeight="false" outlineLevel="0" collapsed="false"/>
    <row r="2156" customFormat="false" ht="15" hidden="false" customHeight="false" outlineLevel="0" collapsed="false"/>
    <row r="2157" customFormat="false" ht="15" hidden="false" customHeight="false" outlineLevel="0" collapsed="false"/>
    <row r="2158" customFormat="false" ht="15" hidden="false" customHeight="false" outlineLevel="0" collapsed="false"/>
    <row r="2159" customFormat="false" ht="15" hidden="false" customHeight="false" outlineLevel="0" collapsed="false"/>
    <row r="2160" customFormat="false" ht="15" hidden="false" customHeight="false" outlineLevel="0" collapsed="false"/>
    <row r="2161" customFormat="false" ht="15" hidden="false" customHeight="false" outlineLevel="0" collapsed="false"/>
    <row r="2162" customFormat="false" ht="15" hidden="false" customHeight="false" outlineLevel="0" collapsed="false"/>
    <row r="2163" customFormat="false" ht="15" hidden="false" customHeight="false" outlineLevel="0" collapsed="false"/>
    <row r="2164" customFormat="false" ht="15" hidden="false" customHeight="false" outlineLevel="0" collapsed="false"/>
    <row r="2165" customFormat="false" ht="15" hidden="false" customHeight="false" outlineLevel="0" collapsed="false"/>
    <row r="2166" customFormat="false" ht="15" hidden="false" customHeight="false" outlineLevel="0" collapsed="false"/>
    <row r="2167" customFormat="false" ht="15" hidden="false" customHeight="false" outlineLevel="0" collapsed="false"/>
    <row r="2168" customFormat="false" ht="15" hidden="false" customHeight="false" outlineLevel="0" collapsed="false"/>
    <row r="2169" customFormat="false" ht="15" hidden="false" customHeight="false" outlineLevel="0" collapsed="false"/>
    <row r="2170" customFormat="false" ht="15" hidden="false" customHeight="false" outlineLevel="0" collapsed="false"/>
    <row r="2171" customFormat="false" ht="15" hidden="false" customHeight="false" outlineLevel="0" collapsed="false"/>
    <row r="2172" customFormat="false" ht="15" hidden="false" customHeight="false" outlineLevel="0" collapsed="false"/>
    <row r="2173" customFormat="false" ht="15" hidden="false" customHeight="false" outlineLevel="0" collapsed="false"/>
    <row r="2174" customFormat="false" ht="15" hidden="false" customHeight="false" outlineLevel="0" collapsed="false"/>
    <row r="2175" customFormat="false" ht="15" hidden="false" customHeight="false" outlineLevel="0" collapsed="false"/>
    <row r="2176" customFormat="false" ht="15" hidden="false" customHeight="false" outlineLevel="0" collapsed="false"/>
    <row r="2177" customFormat="false" ht="15" hidden="false" customHeight="false" outlineLevel="0" collapsed="false"/>
    <row r="2178" customFormat="false" ht="15" hidden="false" customHeight="false" outlineLevel="0" collapsed="false"/>
    <row r="2179" customFormat="false" ht="15" hidden="false" customHeight="false" outlineLevel="0" collapsed="false"/>
    <row r="2180" customFormat="false" ht="15" hidden="false" customHeight="false" outlineLevel="0" collapsed="false"/>
    <row r="2181" customFormat="false" ht="15" hidden="false" customHeight="false" outlineLevel="0" collapsed="false"/>
    <row r="2182" customFormat="false" ht="15" hidden="false" customHeight="false" outlineLevel="0" collapsed="false"/>
    <row r="2183" customFormat="false" ht="15" hidden="false" customHeight="false" outlineLevel="0" collapsed="false"/>
    <row r="2184" customFormat="false" ht="15" hidden="false" customHeight="false" outlineLevel="0" collapsed="false"/>
    <row r="2185" customFormat="false" ht="15" hidden="false" 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llapsed="false"/>
    <row r="2188" customFormat="false" ht="15" hidden="false" customHeight="false" outlineLevel="0" collapsed="false"/>
    <row r="2189" customFormat="false" ht="15" hidden="false" customHeight="false" outlineLevel="0" collapsed="false"/>
    <row r="2190" customFormat="false" ht="15" hidden="false" customHeight="false" outlineLevel="0" collapsed="false"/>
    <row r="2191" customFormat="false" ht="15" hidden="false" customHeight="false" outlineLevel="0" collapsed="false"/>
    <row r="2192" customFormat="false" ht="15" hidden="false" customHeight="false" outlineLevel="0" collapsed="false"/>
    <row r="2193" customFormat="false" ht="15" hidden="false" customHeight="false" outlineLevel="0" collapsed="false"/>
    <row r="2194" customFormat="false" ht="15" hidden="false" customHeight="false" outlineLevel="0" collapsed="false"/>
    <row r="2195" customFormat="false" ht="15" hidden="false" customHeight="false" outlineLevel="0" collapsed="false"/>
    <row r="2196" customFormat="false" ht="15" hidden="false" customHeight="false" outlineLevel="0" collapsed="false"/>
    <row r="2197" customFormat="false" ht="15" hidden="false" customHeight="false" outlineLevel="0" collapsed="false"/>
    <row r="2198" customFormat="false" ht="15" hidden="false" customHeight="false" outlineLevel="0" collapsed="false"/>
    <row r="2199" customFormat="false" ht="15" hidden="false" customHeight="false" outlineLevel="0" collapsed="false"/>
    <row r="2200" customFormat="false" ht="15" hidden="false" customHeight="false" outlineLevel="0" collapsed="false"/>
    <row r="2201" customFormat="false" ht="15" hidden="false" customHeight="false" outlineLevel="0" collapsed="false"/>
    <row r="2202" customFormat="false" ht="15" hidden="false" customHeight="false" outlineLevel="0" collapsed="false"/>
    <row r="2203" customFormat="false" ht="15" hidden="false" customHeight="false" outlineLevel="0" collapsed="false"/>
    <row r="2204" customFormat="false" ht="15" hidden="false" customHeight="false" outlineLevel="0" collapsed="false"/>
    <row r="2205" customFormat="false" ht="15" hidden="false" customHeight="false" outlineLevel="0" collapsed="false"/>
    <row r="2206" customFormat="false" ht="15" hidden="false" customHeight="false" outlineLevel="0" collapsed="false"/>
    <row r="2207" customFormat="false" ht="15" hidden="false" customHeight="false" outlineLevel="0" collapsed="false"/>
    <row r="2208" customFormat="false" ht="15" hidden="false" customHeight="false" outlineLevel="0" collapsed="false"/>
    <row r="2209" customFormat="false" ht="15" hidden="false" customHeight="false" outlineLevel="0" collapsed="false"/>
    <row r="2210" customFormat="false" ht="15" hidden="false" customHeight="false" outlineLevel="0" collapsed="false"/>
    <row r="2211" customFormat="false" ht="15" hidden="false" customHeight="false" outlineLevel="0" collapsed="false"/>
    <row r="2212" customFormat="false" ht="15" hidden="false" customHeight="false" outlineLevel="0" collapsed="false"/>
    <row r="2213" customFormat="false" ht="15" hidden="false" customHeight="false" outlineLevel="0" collapsed="false"/>
    <row r="2214" customFormat="false" ht="15" hidden="false" customHeight="false" outlineLevel="0" collapsed="false"/>
    <row r="2215" customFormat="false" ht="15" hidden="false" customHeight="false" outlineLevel="0" collapsed="false"/>
    <row r="2216" customFormat="false" ht="15" hidden="false" customHeight="false" outlineLevel="0" collapsed="false"/>
    <row r="2217" customFormat="false" ht="15" hidden="false" customHeight="false" outlineLevel="0" collapsed="false"/>
    <row r="2218" customFormat="false" ht="15" hidden="false" customHeight="false" outlineLevel="0" collapsed="false"/>
    <row r="2219" customFormat="false" ht="15" hidden="false" customHeight="false" outlineLevel="0" collapsed="false"/>
    <row r="2220" customFormat="false" ht="15" hidden="false" customHeight="false" outlineLevel="0" collapsed="false"/>
    <row r="2221" customFormat="false" ht="15" hidden="false" customHeight="false" outlineLevel="0" collapsed="false"/>
    <row r="2222" customFormat="false" ht="15" hidden="false" customHeight="false" outlineLevel="0" collapsed="false"/>
    <row r="2223" customFormat="false" ht="15" hidden="false" customHeight="false" outlineLevel="0" collapsed="false"/>
    <row r="2224" customFormat="false" ht="15" hidden="false" customHeight="false" outlineLevel="0" collapsed="false"/>
    <row r="2225" customFormat="false" ht="15" hidden="false" customHeight="false" outlineLevel="0" collapsed="false"/>
    <row r="2226" customFormat="false" ht="15" hidden="false" customHeight="false" outlineLevel="0" collapsed="false"/>
    <row r="2227" customFormat="false" ht="15" hidden="false" customHeight="false" outlineLevel="0" collapsed="false"/>
    <row r="2228" customFormat="false" ht="15" hidden="false" customHeight="false" outlineLevel="0" collapsed="false"/>
    <row r="2229" customFormat="false" ht="15" hidden="false" customHeight="false" outlineLevel="0" collapsed="false"/>
    <row r="2230" customFormat="false" ht="15" hidden="false" customHeight="false" outlineLevel="0" collapsed="false"/>
    <row r="2231" customFormat="false" ht="15" hidden="false" customHeight="false" outlineLevel="0" collapsed="false"/>
    <row r="2232" customFormat="false" ht="15" hidden="false" customHeight="false" outlineLevel="0" collapsed="false"/>
    <row r="2233" customFormat="false" ht="15" hidden="false" customHeight="false" outlineLevel="0" collapsed="false"/>
    <row r="2234" customFormat="false" ht="15" hidden="false" customHeight="false" outlineLevel="0" collapsed="false"/>
    <row r="2235" customFormat="false" ht="15" hidden="false" customHeight="false" outlineLevel="0" collapsed="false"/>
    <row r="2236" customFormat="false" ht="15" hidden="false" customHeight="false" outlineLevel="0" collapsed="false"/>
    <row r="2237" customFormat="false" ht="15" hidden="false" customHeight="false" outlineLevel="0" collapsed="false"/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5" hidden="false" customHeight="false" outlineLevel="0" collapsed="false"/>
    <row r="2242" customFormat="false" ht="15" hidden="false" customHeight="false" outlineLevel="0" collapsed="false"/>
    <row r="2243" customFormat="false" ht="15" hidden="false" customHeight="false" outlineLevel="0" collapsed="false"/>
    <row r="2244" customFormat="false" ht="15" hidden="false" customHeight="false" outlineLevel="0" collapsed="false"/>
    <row r="2245" customFormat="false" ht="15" hidden="false" customHeight="false" outlineLevel="0" collapsed="false"/>
    <row r="2246" customFormat="false" ht="15" hidden="false" customHeight="false" outlineLevel="0" collapsed="false"/>
    <row r="2247" customFormat="false" ht="15" hidden="false" customHeight="false" outlineLevel="0" collapsed="false"/>
    <row r="2248" customFormat="false" ht="15" hidden="false" customHeight="false" outlineLevel="0" collapsed="false"/>
    <row r="2249" customFormat="false" ht="15" hidden="false" customHeight="false" outlineLevel="0" collapsed="false"/>
    <row r="2250" customFormat="false" ht="15" hidden="false" customHeight="false" outlineLevel="0" collapsed="false"/>
    <row r="2251" customFormat="false" ht="15" hidden="false" customHeight="false" outlineLevel="0" collapsed="false"/>
    <row r="2252" customFormat="false" ht="15" hidden="false" customHeight="false" outlineLevel="0" collapsed="false"/>
    <row r="2253" customFormat="false" ht="15" hidden="false" customHeight="false" outlineLevel="0" collapsed="false"/>
    <row r="2254" customFormat="false" ht="15" hidden="false" customHeight="false" outlineLevel="0" collapsed="false"/>
    <row r="2255" customFormat="false" ht="15" hidden="false" customHeight="false" outlineLevel="0" collapsed="false"/>
    <row r="2256" customFormat="false" ht="15" hidden="false" customHeight="false" outlineLevel="0" collapsed="false"/>
    <row r="2257" customFormat="false" ht="15" hidden="false" customHeight="false" outlineLevel="0" collapsed="false"/>
    <row r="2258" customFormat="false" ht="15" hidden="false" customHeight="false" outlineLevel="0" collapsed="false"/>
    <row r="2259" customFormat="false" ht="15" hidden="false" customHeight="false" outlineLevel="0" collapsed="false"/>
    <row r="2260" customFormat="false" ht="15" hidden="false" customHeight="false" outlineLevel="0" collapsed="false"/>
    <row r="2261" customFormat="false" ht="15" hidden="false" customHeight="false" outlineLevel="0" collapsed="false"/>
    <row r="2262" customFormat="false" ht="15" hidden="false" customHeight="false" outlineLevel="0" collapsed="false"/>
    <row r="2263" customFormat="false" ht="15" hidden="false" customHeight="false" outlineLevel="0" collapsed="false"/>
    <row r="2264" customFormat="false" ht="15" hidden="false" customHeight="false" outlineLevel="0" collapsed="false"/>
    <row r="2265" customFormat="false" ht="15" hidden="false" customHeight="false" outlineLevel="0" collapsed="false"/>
    <row r="2266" customFormat="false" ht="15" hidden="false" customHeight="false" outlineLevel="0" collapsed="false"/>
    <row r="2267" customFormat="false" ht="15" hidden="false" customHeight="false" outlineLevel="0" collapsed="false"/>
    <row r="2268" customFormat="false" ht="15" hidden="false" customHeight="false" outlineLevel="0" collapsed="false"/>
    <row r="2269" customFormat="false" ht="15" hidden="false" customHeight="false" outlineLevel="0" collapsed="false"/>
    <row r="2270" customFormat="false" ht="15" hidden="false" customHeight="false" outlineLevel="0" collapsed="false"/>
    <row r="2271" customFormat="false" ht="15" hidden="false" customHeight="false" outlineLevel="0" collapsed="false"/>
    <row r="2272" customFormat="false" ht="15" hidden="false" customHeight="false" outlineLevel="0" collapsed="false"/>
    <row r="2273" customFormat="false" ht="15" hidden="false" customHeight="false" outlineLevel="0" collapsed="false"/>
    <row r="2274" customFormat="false" ht="15" hidden="false" customHeight="false" outlineLevel="0" collapsed="false"/>
    <row r="2275" customFormat="false" ht="15" hidden="false" customHeight="false" outlineLevel="0" collapsed="false"/>
    <row r="2276" customFormat="false" ht="15" hidden="false" customHeight="false" outlineLevel="0" collapsed="false"/>
    <row r="2277" customFormat="false" ht="15" hidden="false" customHeight="false" outlineLevel="0" collapsed="false"/>
    <row r="2278" customFormat="false" ht="15" hidden="false" customHeight="false" outlineLevel="0" collapsed="false"/>
    <row r="2279" customFormat="false" ht="15" hidden="false" customHeight="false" outlineLevel="0" collapsed="false"/>
    <row r="2280" customFormat="false" ht="15" hidden="false" customHeight="false" outlineLevel="0" collapsed="false"/>
    <row r="2281" customFormat="false" ht="15" hidden="false" customHeight="false" outlineLevel="0" collapsed="false"/>
    <row r="2282" customFormat="false" ht="15" hidden="false" customHeight="false" outlineLevel="0" collapsed="false"/>
    <row r="2283" customFormat="false" ht="15" hidden="false" customHeight="false" outlineLevel="0" collapsed="false"/>
    <row r="2284" customFormat="false" ht="15" hidden="false" customHeight="false" outlineLevel="0" collapsed="false"/>
    <row r="2285" customFormat="false" ht="15" hidden="false" customHeight="false" outlineLevel="0" collapsed="false"/>
    <row r="2286" customFormat="false" ht="15" hidden="false" customHeight="false" outlineLevel="0" collapsed="false"/>
    <row r="2287" customFormat="false" ht="15" hidden="false" customHeight="false" outlineLevel="0" collapsed="false"/>
    <row r="2288" customFormat="false" ht="15" hidden="false" customHeight="false" outlineLevel="0" collapsed="false"/>
    <row r="2289" customFormat="false" ht="15" hidden="false" customHeight="false" outlineLevel="0" collapsed="false"/>
    <row r="2290" customFormat="false" ht="15" hidden="false" customHeight="false" outlineLevel="0" collapsed="false"/>
    <row r="2291" customFormat="false" ht="15" hidden="false" customHeight="false" outlineLevel="0" collapsed="false"/>
    <row r="2292" customFormat="false" ht="15" hidden="false" customHeight="false" outlineLevel="0" collapsed="false"/>
    <row r="2293" customFormat="false" ht="15" hidden="false" customHeight="false" outlineLevel="0" collapsed="false"/>
    <row r="2294" customFormat="false" ht="15" hidden="false" customHeight="false" outlineLevel="0" collapsed="false"/>
    <row r="2295" customFormat="false" ht="15" hidden="false" customHeight="false" outlineLevel="0" collapsed="false"/>
    <row r="2296" customFormat="false" ht="15" hidden="false" customHeight="false" outlineLevel="0" collapsed="false"/>
    <row r="2297" customFormat="false" ht="15" hidden="false" customHeight="false" outlineLevel="0" collapsed="false"/>
    <row r="2298" customFormat="false" ht="15" hidden="false" customHeight="false" outlineLevel="0" collapsed="false"/>
    <row r="2299" customFormat="false" ht="15" hidden="false" customHeight="false" outlineLevel="0" collapsed="false"/>
    <row r="2300" customFormat="false" ht="15" hidden="false" customHeight="false" outlineLevel="0" collapsed="false"/>
    <row r="2301" customFormat="false" ht="15" hidden="false" customHeight="false" outlineLevel="0" collapsed="false"/>
    <row r="2302" customFormat="false" ht="15" hidden="false" customHeight="false" outlineLevel="0" collapsed="false"/>
    <row r="2303" customFormat="false" ht="15" hidden="false" customHeight="false" outlineLevel="0" collapsed="false"/>
    <row r="2304" customFormat="false" ht="15" hidden="false" customHeight="false" outlineLevel="0" collapsed="false"/>
    <row r="2305" customFormat="false" ht="15" hidden="false" customHeight="false" outlineLevel="0" collapsed="false"/>
    <row r="2306" customFormat="false" ht="15" hidden="false" customHeight="false" outlineLevel="0" collapsed="false"/>
    <row r="2307" customFormat="false" ht="15" hidden="false" customHeight="false" outlineLevel="0" collapsed="false"/>
    <row r="2308" customFormat="false" ht="15" hidden="false" customHeight="false" outlineLevel="0" collapsed="false"/>
    <row r="2309" customFormat="false" ht="15" hidden="false" customHeight="false" outlineLevel="0" collapsed="false"/>
    <row r="2310" customFormat="false" ht="15" hidden="false" customHeight="false" outlineLevel="0" collapsed="false"/>
    <row r="2311" customFormat="false" ht="15" hidden="false" customHeight="false" outlineLevel="0" collapsed="false"/>
    <row r="2312" customFormat="false" ht="15" hidden="false" customHeight="false" outlineLevel="0" collapsed="false"/>
    <row r="2313" customFormat="false" ht="15" hidden="false" customHeight="false" outlineLevel="0" collapsed="false"/>
    <row r="2314" customFormat="false" ht="15" hidden="false" customHeight="false" outlineLevel="0" collapsed="false"/>
    <row r="2315" customFormat="false" ht="15" hidden="false" customHeight="false" outlineLevel="0" collapsed="false"/>
    <row r="2316" customFormat="false" ht="15" hidden="false" customHeight="false" outlineLevel="0" collapsed="false"/>
    <row r="2317" customFormat="false" ht="15" hidden="false" customHeight="false" outlineLevel="0" collapsed="false"/>
    <row r="2318" customFormat="false" ht="15" hidden="false" customHeight="false" outlineLevel="0" collapsed="false"/>
    <row r="2319" customFormat="false" ht="15" hidden="false" customHeight="false" outlineLevel="0" collapsed="false"/>
    <row r="2320" customFormat="false" ht="15" hidden="false" customHeight="false" outlineLevel="0" collapsed="false"/>
    <row r="2321" customFormat="false" ht="15" hidden="false" customHeight="false" outlineLevel="0" collapsed="false"/>
    <row r="2322" customFormat="false" ht="15" hidden="false" customHeight="false" outlineLevel="0" collapsed="false"/>
    <row r="2323" customFormat="false" ht="15" hidden="false" customHeight="false" outlineLevel="0" collapsed="false"/>
    <row r="2324" customFormat="false" ht="15" hidden="false" customHeight="false" outlineLevel="0" collapsed="false"/>
    <row r="2325" customFormat="false" ht="15" hidden="false" customHeight="false" outlineLevel="0" collapsed="false"/>
    <row r="2326" customFormat="false" ht="15" hidden="false" customHeight="false" outlineLevel="0" collapsed="false"/>
    <row r="2327" customFormat="false" ht="15" hidden="false" customHeight="false" outlineLevel="0" collapsed="false"/>
    <row r="2328" customFormat="false" ht="15" hidden="false" customHeight="false" outlineLevel="0" collapsed="false"/>
    <row r="2329" customFormat="false" ht="15" hidden="false" customHeight="false" outlineLevel="0" collapsed="false"/>
    <row r="2330" customFormat="false" ht="15" hidden="false" customHeight="false" outlineLevel="0" collapsed="false"/>
    <row r="2331" customFormat="false" ht="15" hidden="false" customHeight="false" outlineLevel="0" collapsed="false"/>
    <row r="2332" customFormat="false" ht="15" hidden="false" customHeight="false" outlineLevel="0" collapsed="false"/>
    <row r="2333" customFormat="false" ht="15" hidden="false" customHeight="false" outlineLevel="0" collapsed="false"/>
    <row r="2334" customFormat="false" ht="15" hidden="false" customHeight="false" outlineLevel="0" collapsed="false"/>
    <row r="2335" customFormat="false" ht="15" hidden="false" customHeight="false" outlineLevel="0" collapsed="false"/>
    <row r="2336" customFormat="false" ht="15" hidden="false" customHeight="false" outlineLevel="0" collapsed="false"/>
    <row r="2337" customFormat="false" ht="15" hidden="false" customHeight="false" outlineLevel="0" collapsed="false"/>
    <row r="2338" customFormat="false" ht="15" hidden="false" customHeight="false" outlineLevel="0" collapsed="false"/>
    <row r="2339" customFormat="false" ht="15" hidden="false" customHeight="false" outlineLevel="0" collapsed="false"/>
    <row r="2340" customFormat="false" ht="15" hidden="false" customHeight="false" outlineLevel="0" collapsed="false"/>
    <row r="2341" customFormat="false" ht="15" hidden="false" customHeight="false" outlineLevel="0" collapsed="false"/>
    <row r="2342" customFormat="false" ht="15" hidden="false" customHeight="false" outlineLevel="0" collapsed="false"/>
    <row r="2343" customFormat="false" ht="15" hidden="false" customHeight="false" outlineLevel="0" collapsed="false"/>
    <row r="2344" customFormat="false" ht="15" hidden="false" customHeight="false" outlineLevel="0" collapsed="false"/>
    <row r="2345" customFormat="false" ht="15" hidden="false" customHeight="false" outlineLevel="0" collapsed="false"/>
    <row r="2346" customFormat="false" ht="15" hidden="false" customHeight="false" outlineLevel="0" collapsed="false"/>
    <row r="2347" customFormat="false" ht="15" hidden="false" customHeight="false" outlineLevel="0" collapsed="false"/>
    <row r="2348" customFormat="false" ht="15" hidden="false" customHeight="false" outlineLevel="0" collapsed="false"/>
    <row r="2349" customFormat="false" ht="15" hidden="false" customHeight="false" outlineLevel="0" collapsed="false"/>
    <row r="2350" customFormat="false" ht="15" hidden="false" customHeight="false" outlineLevel="0" collapsed="false"/>
    <row r="2351" customFormat="false" ht="15" hidden="false" customHeight="false" outlineLevel="0" collapsed="false"/>
    <row r="2352" customFormat="false" ht="15" hidden="false" customHeight="false" outlineLevel="0" collapsed="false"/>
    <row r="2353" customFormat="false" ht="15" hidden="false" customHeight="false" outlineLevel="0" collapsed="false"/>
    <row r="2354" customFormat="false" ht="15" hidden="false" customHeight="false" outlineLevel="0" collapsed="false"/>
    <row r="2355" customFormat="false" ht="15" hidden="false" customHeight="false" outlineLevel="0" collapsed="false"/>
    <row r="2356" customFormat="false" ht="15" hidden="false" customHeight="false" outlineLevel="0" collapsed="false"/>
    <row r="2357" customFormat="false" ht="15" hidden="false" customHeight="false" outlineLevel="0" collapsed="false"/>
    <row r="2358" customFormat="false" ht="15" hidden="false" customHeight="false" outlineLevel="0" collapsed="false"/>
    <row r="2359" customFormat="false" ht="15" hidden="false" customHeight="false" outlineLevel="0" collapsed="false"/>
    <row r="2360" customFormat="false" ht="15" hidden="false" customHeight="false" outlineLevel="0" collapsed="false"/>
    <row r="2361" customFormat="false" ht="15" hidden="false" customHeight="false" outlineLevel="0" collapsed="false"/>
    <row r="2362" customFormat="false" ht="15" hidden="false" customHeight="false" outlineLevel="0" collapsed="false"/>
    <row r="2363" customFormat="false" ht="15" hidden="false" customHeight="false" outlineLevel="0" collapsed="false"/>
    <row r="2364" customFormat="false" ht="15" hidden="false" customHeight="false" outlineLevel="0" collapsed="false"/>
    <row r="2365" customFormat="false" ht="15" hidden="false" customHeight="false" outlineLevel="0" collapsed="false"/>
    <row r="2366" customFormat="false" ht="15" hidden="false" customHeight="false" outlineLevel="0" collapsed="false"/>
    <row r="2367" customFormat="false" ht="15" hidden="false" customHeight="false" outlineLevel="0" collapsed="false"/>
    <row r="2368" customFormat="false" ht="15" hidden="false" customHeight="false" outlineLevel="0" collapsed="false"/>
    <row r="2369" customFormat="false" ht="15" hidden="false" customHeight="false" outlineLevel="0" collapsed="false"/>
    <row r="2370" customFormat="false" ht="15" hidden="false" customHeight="false" outlineLevel="0" collapsed="false"/>
    <row r="2371" customFormat="false" ht="15" hidden="false" customHeight="false" outlineLevel="0" collapsed="false"/>
    <row r="2372" customFormat="false" ht="15" hidden="false" customHeight="false" outlineLevel="0" collapsed="false"/>
    <row r="2373" customFormat="false" ht="15" hidden="false" customHeight="false" outlineLevel="0" collapsed="false"/>
    <row r="2374" customFormat="false" ht="15" hidden="false" customHeight="false" outlineLevel="0" collapsed="false"/>
    <row r="2375" customFormat="false" ht="15" hidden="false" customHeight="false" outlineLevel="0" collapsed="false"/>
    <row r="2376" customFormat="false" ht="15" hidden="false" customHeight="false" outlineLevel="0" collapsed="false"/>
    <row r="2377" customFormat="false" ht="15" hidden="false" customHeight="false" outlineLevel="0" collapsed="false"/>
    <row r="2378" customFormat="false" ht="15" hidden="false" customHeight="false" outlineLevel="0" collapsed="false"/>
    <row r="2379" customFormat="false" ht="15" hidden="false" customHeight="false" outlineLevel="0" collapsed="false"/>
    <row r="2380" customFormat="false" ht="15" hidden="false" customHeight="false" outlineLevel="0" collapsed="false"/>
    <row r="2381" customFormat="false" ht="15" hidden="false" customHeight="false" outlineLevel="0" collapsed="false"/>
    <row r="2382" customFormat="false" ht="15" hidden="false" customHeight="false" outlineLevel="0" collapsed="false"/>
    <row r="2383" customFormat="false" ht="15" hidden="false" customHeight="false" outlineLevel="0" collapsed="false"/>
    <row r="2384" customFormat="false" ht="15" hidden="false" customHeight="false" outlineLevel="0" collapsed="false"/>
    <row r="2385" customFormat="false" ht="15" hidden="false" customHeight="false" outlineLevel="0" collapsed="false"/>
    <row r="2386" customFormat="false" ht="15" hidden="false" customHeight="false" outlineLevel="0" collapsed="false"/>
    <row r="2387" customFormat="false" ht="15" hidden="false" customHeight="false" outlineLevel="0" collapsed="false"/>
    <row r="2388" customFormat="false" ht="15" hidden="false" customHeight="false" outlineLevel="0" collapsed="false"/>
    <row r="2389" customFormat="false" ht="15" hidden="false" customHeight="false" outlineLevel="0" collapsed="false"/>
    <row r="2390" customFormat="false" ht="15" hidden="false" customHeight="false" outlineLevel="0" collapsed="false"/>
    <row r="2391" customFormat="false" ht="15" hidden="false" customHeight="false" outlineLevel="0" collapsed="false"/>
    <row r="2392" customFormat="false" ht="15" hidden="false" customHeight="false" outlineLevel="0" collapsed="false"/>
    <row r="2393" customFormat="false" ht="15" hidden="false" customHeight="false" outlineLevel="0" collapsed="false"/>
    <row r="2394" customFormat="false" ht="15" hidden="false" customHeight="false" outlineLevel="0" collapsed="false"/>
    <row r="2395" customFormat="false" ht="15" hidden="false" customHeight="false" outlineLevel="0" collapsed="false"/>
    <row r="2396" customFormat="false" ht="15" hidden="false" customHeight="false" outlineLevel="0" collapsed="false"/>
    <row r="2397" customFormat="false" ht="15" hidden="false" customHeight="false" outlineLevel="0" collapsed="false"/>
    <row r="2398" customFormat="false" ht="15" hidden="false" customHeight="false" outlineLevel="0" collapsed="false"/>
    <row r="2399" customFormat="false" ht="15" hidden="false" customHeight="false" outlineLevel="0" collapsed="false"/>
    <row r="2400" customFormat="false" ht="15" hidden="false" customHeight="false" outlineLevel="0" collapsed="false"/>
    <row r="2401" customFormat="false" ht="15" hidden="false" customHeight="false" outlineLevel="0" collapsed="false"/>
    <row r="2402" customFormat="false" ht="15" hidden="false" customHeight="false" outlineLevel="0" collapsed="false"/>
    <row r="2403" customFormat="false" ht="15" hidden="false" customHeight="false" outlineLevel="0" collapsed="false"/>
    <row r="2404" customFormat="false" ht="15" hidden="false" customHeight="false" outlineLevel="0" collapsed="false"/>
    <row r="2405" customFormat="false" ht="15" hidden="false" customHeight="false" outlineLevel="0" collapsed="false"/>
    <row r="2406" customFormat="false" ht="15" hidden="false" customHeight="false" outlineLevel="0" collapsed="false"/>
    <row r="2407" customFormat="false" ht="15" hidden="false" customHeight="false" outlineLevel="0" collapsed="false"/>
    <row r="2408" customFormat="false" ht="15" hidden="false" customHeight="false" outlineLevel="0" collapsed="false"/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/>
    <row r="2412" customFormat="false" ht="15" hidden="false" customHeight="false" outlineLevel="0" collapsed="false"/>
    <row r="2413" customFormat="false" ht="15" hidden="false" customHeight="false" outlineLevel="0" collapsed="false"/>
    <row r="2414" customFormat="false" ht="15" hidden="false" customHeight="false" outlineLevel="0" collapsed="false"/>
    <row r="2415" customFormat="false" ht="15" hidden="false" customHeight="false" outlineLevel="0" collapsed="false"/>
    <row r="2416" customFormat="false" ht="15" hidden="false" customHeight="false" outlineLevel="0" collapsed="false"/>
    <row r="2417" customFormat="false" ht="15" hidden="false" customHeight="false" outlineLevel="0" collapsed="false"/>
    <row r="2418" customFormat="false" ht="15" hidden="false" customHeight="false" outlineLevel="0" collapsed="false"/>
    <row r="2419" customFormat="false" ht="15" hidden="false" customHeight="false" outlineLevel="0" collapsed="false"/>
    <row r="2420" customFormat="false" ht="15" hidden="false" customHeight="false" outlineLevel="0" collapsed="false"/>
    <row r="2421" customFormat="false" ht="15" hidden="false" customHeight="false" outlineLevel="0" collapsed="false"/>
    <row r="2422" customFormat="false" ht="15" hidden="false" customHeight="false" outlineLevel="0" collapsed="false"/>
    <row r="2423" customFormat="false" ht="15" hidden="false" customHeight="false" outlineLevel="0" collapsed="false"/>
    <row r="2424" customFormat="false" ht="15" hidden="false" customHeight="false" outlineLevel="0" collapsed="false"/>
    <row r="2425" customFormat="false" ht="15" hidden="false" customHeight="false" outlineLevel="0" collapsed="false"/>
    <row r="2426" customFormat="false" ht="15" hidden="false" customHeight="false" outlineLevel="0" collapsed="false"/>
    <row r="2427" customFormat="false" ht="15" hidden="false" customHeight="false" outlineLevel="0" collapsed="false"/>
    <row r="2428" customFormat="false" ht="15" hidden="false" customHeight="false" outlineLevel="0" collapsed="false"/>
    <row r="2429" customFormat="false" ht="15" hidden="false" customHeight="false" outlineLevel="0" collapsed="false"/>
    <row r="2430" customFormat="false" ht="15" hidden="false" customHeight="false" outlineLevel="0" collapsed="false"/>
    <row r="2431" customFormat="false" ht="15" hidden="false" customHeight="false" outlineLevel="0" collapsed="false"/>
    <row r="2432" customFormat="false" ht="15" hidden="false" customHeight="false" outlineLevel="0" collapsed="false"/>
    <row r="2433" customFormat="false" ht="15" hidden="false" customHeight="false" outlineLevel="0" collapsed="false"/>
    <row r="2434" customFormat="false" ht="15" hidden="false" customHeight="false" outlineLevel="0" collapsed="false"/>
    <row r="2435" customFormat="false" ht="15" hidden="false" customHeight="false" outlineLevel="0" collapsed="false"/>
    <row r="2436" customFormat="false" ht="15" hidden="false" customHeight="false" outlineLevel="0" collapsed="false"/>
    <row r="2437" customFormat="false" ht="15" hidden="false" customHeight="false" outlineLevel="0" collapsed="false"/>
    <row r="2438" customFormat="false" ht="15" hidden="false" customHeight="false" outlineLevel="0" collapsed="false"/>
    <row r="2439" customFormat="false" ht="15" hidden="false" customHeight="false" outlineLevel="0" collapsed="false"/>
    <row r="2440" customFormat="false" ht="15" hidden="false" customHeight="false" outlineLevel="0" collapsed="false"/>
    <row r="2441" customFormat="false" ht="15" hidden="false" customHeight="false" outlineLevel="0" collapsed="false"/>
    <row r="2442" customFormat="false" ht="15" hidden="false" customHeight="false" outlineLevel="0" collapsed="false"/>
    <row r="2443" customFormat="false" ht="15" hidden="false" customHeight="false" outlineLevel="0" collapsed="false"/>
    <row r="2444" customFormat="false" ht="15" hidden="false" customHeight="false" outlineLevel="0" collapsed="false"/>
    <row r="2445" customFormat="false" ht="15" hidden="false" customHeight="false" outlineLevel="0" collapsed="false"/>
    <row r="2446" customFormat="false" ht="15" hidden="false" customHeight="false" outlineLevel="0" collapsed="false"/>
    <row r="2447" customFormat="false" ht="15" hidden="false" customHeight="false" outlineLevel="0" collapsed="false"/>
    <row r="2448" customFormat="false" ht="15" hidden="false" customHeight="false" outlineLevel="0" collapsed="false"/>
    <row r="2449" customFormat="false" ht="15" hidden="false" customHeight="false" outlineLevel="0" collapsed="false"/>
    <row r="2450" customFormat="false" ht="15" hidden="false" customHeight="false" outlineLevel="0" collapsed="false"/>
    <row r="2451" customFormat="false" ht="15" hidden="false" customHeight="false" outlineLevel="0" collapsed="false"/>
    <row r="2452" customFormat="false" ht="15" hidden="false" customHeight="false" outlineLevel="0" collapsed="false"/>
    <row r="2453" customFormat="false" ht="15" hidden="false" customHeight="false" outlineLevel="0" collapsed="false"/>
    <row r="2454" customFormat="false" ht="15" hidden="false" customHeight="false" outlineLevel="0" collapsed="false"/>
    <row r="2455" customFormat="false" ht="15" hidden="false" customHeight="false" outlineLevel="0" collapsed="false"/>
    <row r="2456" customFormat="false" ht="15" hidden="false" customHeight="false" outlineLevel="0" collapsed="false"/>
    <row r="2457" customFormat="false" ht="15" hidden="false" customHeight="false" outlineLevel="0" collapsed="false"/>
    <row r="2458" customFormat="false" ht="15" hidden="false" customHeight="false" outlineLevel="0" collapsed="false"/>
    <row r="2459" customFormat="false" ht="15" hidden="false" customHeight="false" outlineLevel="0" collapsed="false"/>
    <row r="2460" customFormat="false" ht="15" hidden="false" customHeight="false" outlineLevel="0" collapsed="false"/>
    <row r="2461" customFormat="false" ht="15" hidden="false" customHeight="false" outlineLevel="0" collapsed="false"/>
    <row r="2462" customFormat="false" ht="15" hidden="false" customHeight="false" outlineLevel="0" collapsed="false"/>
    <row r="2463" customFormat="false" ht="15" hidden="false" customHeight="false" outlineLevel="0" collapsed="false"/>
    <row r="2464" customFormat="false" ht="15" hidden="false" customHeight="false" outlineLevel="0" collapsed="false"/>
    <row r="2465" customFormat="false" ht="15" hidden="false" customHeight="false" outlineLevel="0" collapsed="false"/>
    <row r="2466" customFormat="false" ht="15" hidden="false" customHeight="false" outlineLevel="0" collapsed="false"/>
    <row r="2467" customFormat="false" ht="15" hidden="false" customHeight="false" outlineLevel="0" collapsed="false"/>
    <row r="2468" customFormat="false" ht="15" hidden="false" customHeight="false" outlineLevel="0" collapsed="false"/>
    <row r="2469" customFormat="false" ht="15" hidden="false" customHeight="false" outlineLevel="0" collapsed="false"/>
    <row r="2470" customFormat="false" ht="15" hidden="false" customHeight="false" outlineLevel="0" collapsed="false"/>
    <row r="2471" customFormat="false" ht="15" hidden="false" customHeight="false" outlineLevel="0" collapsed="false"/>
    <row r="2472" customFormat="false" ht="15" hidden="false" customHeight="false" outlineLevel="0" collapsed="false"/>
    <row r="2473" customFormat="false" ht="15" hidden="false" customHeight="false" outlineLevel="0" collapsed="false"/>
    <row r="2474" customFormat="false" ht="15" hidden="false" customHeight="false" outlineLevel="0" collapsed="false"/>
    <row r="2475" customFormat="false" ht="15" hidden="false" customHeight="false" outlineLevel="0" collapsed="false"/>
    <row r="2476" customFormat="false" ht="15" hidden="false" customHeight="false" outlineLevel="0" collapsed="false"/>
    <row r="2477" customFormat="false" ht="15" hidden="false" customHeight="false" outlineLevel="0" collapsed="false"/>
    <row r="2478" customFormat="false" ht="15" hidden="false" customHeight="false" outlineLevel="0" collapsed="false"/>
    <row r="2479" customFormat="false" ht="15" hidden="false" customHeight="false" outlineLevel="0" collapsed="false"/>
    <row r="2480" customFormat="false" ht="15" hidden="false" customHeight="false" outlineLevel="0" collapsed="false"/>
    <row r="2481" customFormat="false" ht="15" hidden="false" customHeight="false" outlineLevel="0" collapsed="false"/>
    <row r="2482" customFormat="false" ht="15" hidden="false" customHeight="false" outlineLevel="0" collapsed="false"/>
    <row r="2483" customFormat="false" ht="15" hidden="false" customHeight="false" outlineLevel="0" collapsed="false"/>
    <row r="2484" customFormat="false" ht="15" hidden="false" customHeight="false" outlineLevel="0" collapsed="false"/>
    <row r="2485" customFormat="false" ht="15" hidden="false" customHeight="false" outlineLevel="0" collapsed="false"/>
    <row r="2486" customFormat="false" ht="15" hidden="false" customHeight="false" outlineLevel="0" collapsed="false"/>
    <row r="2487" customFormat="false" ht="15" hidden="false" customHeight="false" outlineLevel="0" collapsed="false"/>
    <row r="2488" customFormat="false" ht="15" hidden="false" customHeight="false" outlineLevel="0" collapsed="false"/>
    <row r="2489" customFormat="false" ht="15" hidden="false" customHeight="false" outlineLevel="0" collapsed="false"/>
    <row r="2490" customFormat="false" ht="15" hidden="false" customHeight="false" outlineLevel="0" collapsed="false"/>
    <row r="2491" customFormat="false" ht="15" hidden="false" customHeight="false" outlineLevel="0" collapsed="false"/>
    <row r="2492" customFormat="false" ht="15" hidden="false" customHeight="false" outlineLevel="0" collapsed="false"/>
    <row r="2493" customFormat="false" ht="15" hidden="false" customHeight="false" outlineLevel="0" collapsed="false"/>
    <row r="2494" customFormat="false" ht="15" hidden="false" customHeight="false" outlineLevel="0" collapsed="false"/>
    <row r="2495" customFormat="false" ht="15" hidden="false" customHeight="false" outlineLevel="0" collapsed="false"/>
    <row r="2496" customFormat="false" ht="15" hidden="false" customHeight="false" outlineLevel="0" collapsed="false"/>
    <row r="2497" customFormat="false" ht="15" hidden="false" customHeight="false" outlineLevel="0" collapsed="false"/>
    <row r="2498" customFormat="false" ht="15" hidden="false" customHeight="false" outlineLevel="0" collapsed="false"/>
    <row r="2499" customFormat="false" ht="15" hidden="false" customHeight="false" outlineLevel="0" collapsed="false"/>
    <row r="2500" customFormat="false" ht="15" hidden="false" customHeight="false" outlineLevel="0" collapsed="false"/>
    <row r="2501" customFormat="false" ht="15" hidden="false" customHeight="false" outlineLevel="0" collapsed="false"/>
    <row r="2502" customFormat="false" ht="15" hidden="false" customHeight="false" outlineLevel="0" collapsed="false"/>
    <row r="2503" customFormat="false" ht="15" hidden="false" customHeight="false" outlineLevel="0" collapsed="false"/>
    <row r="2504" customFormat="false" ht="15" hidden="false" customHeight="false" outlineLevel="0" collapsed="false"/>
    <row r="2505" customFormat="false" ht="15" hidden="false" customHeight="false" outlineLevel="0" collapsed="false"/>
    <row r="2506" customFormat="false" ht="15" hidden="false" customHeight="false" outlineLevel="0" collapsed="false"/>
    <row r="2507" customFormat="false" ht="15" hidden="false" customHeight="false" outlineLevel="0" collapsed="false"/>
    <row r="2508" customFormat="false" ht="15" hidden="false" customHeight="false" outlineLevel="0" collapsed="false"/>
    <row r="2509" customFormat="false" ht="15" hidden="false" customHeight="false" outlineLevel="0" collapsed="false"/>
    <row r="2510" customFormat="false" ht="15" hidden="false" customHeight="false" outlineLevel="0" collapsed="false"/>
    <row r="2511" customFormat="false" ht="15" hidden="false" customHeight="false" outlineLevel="0" collapsed="false"/>
    <row r="2512" customFormat="false" ht="15" hidden="false" customHeight="false" outlineLevel="0" collapsed="false"/>
    <row r="2513" customFormat="false" ht="15" hidden="false" customHeight="false" outlineLevel="0" collapsed="false"/>
    <row r="2514" customFormat="false" ht="15" hidden="false" customHeight="false" outlineLevel="0" collapsed="false"/>
    <row r="2515" customFormat="false" ht="15" hidden="false" customHeight="false" outlineLevel="0" collapsed="false"/>
    <row r="2516" customFormat="false" ht="15" hidden="false" customHeight="false" outlineLevel="0" collapsed="false"/>
    <row r="2517" customFormat="false" ht="15" hidden="false" customHeight="false" outlineLevel="0" collapsed="false"/>
    <row r="2518" customFormat="false" ht="15" hidden="false" customHeight="false" outlineLevel="0" collapsed="false"/>
    <row r="2519" customFormat="false" ht="15" hidden="false" customHeight="false" outlineLevel="0" collapsed="false"/>
    <row r="2520" customFormat="false" ht="15" hidden="false" customHeight="false" outlineLevel="0" collapsed="false"/>
    <row r="2521" customFormat="false" ht="15" hidden="false" customHeight="false" outlineLevel="0" collapsed="false"/>
    <row r="2522" customFormat="false" ht="15" hidden="false" customHeight="false" outlineLevel="0" collapsed="false"/>
    <row r="2523" customFormat="false" ht="15" hidden="false" customHeight="false" outlineLevel="0" collapsed="false"/>
    <row r="2524" customFormat="false" ht="15" hidden="false" customHeight="false" outlineLevel="0" collapsed="false"/>
    <row r="2525" customFormat="false" ht="15" hidden="false" customHeight="false" outlineLevel="0" collapsed="false"/>
    <row r="2526" customFormat="false" ht="15" hidden="false" customHeight="false" outlineLevel="0" collapsed="false"/>
    <row r="2527" customFormat="false" ht="15" hidden="false" customHeight="false" outlineLevel="0" collapsed="false"/>
    <row r="2528" customFormat="false" ht="15" hidden="false" customHeight="false" outlineLevel="0" collapsed="false"/>
    <row r="2529" customFormat="false" ht="15" hidden="false" customHeight="false" outlineLevel="0" collapsed="false"/>
    <row r="2530" customFormat="false" ht="15" hidden="false" customHeight="false" outlineLevel="0" collapsed="false"/>
    <row r="2531" customFormat="false" ht="15" hidden="false" customHeight="false" outlineLevel="0" collapsed="false"/>
    <row r="2532" customFormat="false" ht="15" hidden="false" customHeight="false" outlineLevel="0" collapsed="false"/>
    <row r="2533" customFormat="false" ht="15" hidden="false" customHeight="false" outlineLevel="0" collapsed="false"/>
    <row r="2534" customFormat="false" ht="15" hidden="false" customHeight="false" outlineLevel="0" collapsed="false"/>
    <row r="2535" customFormat="false" ht="15" hidden="false" customHeight="false" outlineLevel="0" collapsed="false"/>
    <row r="2536" customFormat="false" ht="15" hidden="false" customHeight="false" outlineLevel="0" collapsed="false"/>
    <row r="2537" customFormat="false" ht="15" hidden="false" customHeight="false" outlineLevel="0" collapsed="false"/>
    <row r="2538" customFormat="false" ht="15" hidden="false" customHeight="false" outlineLevel="0" collapsed="false"/>
    <row r="2539" customFormat="false" ht="15" hidden="false" customHeight="false" outlineLevel="0" collapsed="false"/>
    <row r="2540" customFormat="false" ht="15" hidden="false" customHeight="false" outlineLevel="0" collapsed="false"/>
    <row r="2541" customFormat="false" ht="15" hidden="false" customHeight="false" outlineLevel="0" collapsed="false"/>
    <row r="2542" customFormat="false" ht="15" hidden="false" customHeight="false" outlineLevel="0" collapsed="false"/>
    <row r="2543" customFormat="false" ht="15" hidden="false" customHeight="false" outlineLevel="0" collapsed="false"/>
    <row r="2544" customFormat="false" ht="15" hidden="false" customHeight="false" outlineLevel="0" collapsed="false"/>
    <row r="2545" customFormat="false" ht="15" hidden="false" customHeight="false" outlineLevel="0" collapsed="false"/>
    <row r="2546" customFormat="false" ht="15" hidden="false" customHeight="false" outlineLevel="0" collapsed="false"/>
    <row r="2547" customFormat="false" ht="15" hidden="false" customHeight="false" outlineLevel="0" collapsed="false"/>
    <row r="2548" customFormat="false" ht="15" hidden="false" customHeight="false" outlineLevel="0" collapsed="false"/>
    <row r="2549" customFormat="false" ht="15" hidden="false" customHeight="false" outlineLevel="0" collapsed="false"/>
    <row r="2550" customFormat="false" ht="15" hidden="false" customHeight="false" outlineLevel="0" collapsed="false"/>
    <row r="2551" customFormat="false" ht="15" hidden="false" customHeight="false" outlineLevel="0" collapsed="false"/>
    <row r="2552" customFormat="false" ht="15" hidden="false" customHeight="false" outlineLevel="0" collapsed="false"/>
    <row r="2553" customFormat="false" ht="15" hidden="false" customHeight="false" outlineLevel="0" collapsed="false"/>
    <row r="2554" customFormat="false" ht="15" hidden="false" customHeight="false" outlineLevel="0" collapsed="false"/>
    <row r="2555" customFormat="false" ht="15" hidden="false" customHeight="false" outlineLevel="0" collapsed="false"/>
    <row r="2556" customFormat="false" ht="15" hidden="false" customHeight="false" outlineLevel="0" collapsed="false"/>
    <row r="2557" customFormat="false" ht="15" hidden="false" customHeight="false" outlineLevel="0" collapsed="false"/>
    <row r="2558" customFormat="false" ht="15" hidden="false" customHeight="false" outlineLevel="0" collapsed="false"/>
    <row r="2559" customFormat="false" ht="15" hidden="false" customHeight="false" outlineLevel="0" collapsed="false"/>
    <row r="2560" customFormat="false" ht="15" hidden="false" customHeight="false" outlineLevel="0" collapsed="false"/>
    <row r="2561" customFormat="false" ht="15" hidden="false" customHeight="false" outlineLevel="0" collapsed="false"/>
    <row r="2562" customFormat="false" ht="15" hidden="false" customHeight="false" outlineLevel="0" collapsed="false"/>
    <row r="2563" customFormat="false" ht="15" hidden="false" customHeight="false" outlineLevel="0" collapsed="false"/>
    <row r="2564" customFormat="false" ht="15" hidden="false" customHeight="false" outlineLevel="0" collapsed="false"/>
    <row r="2565" customFormat="false" ht="15" hidden="false" customHeight="false" outlineLevel="0" collapsed="false"/>
    <row r="2566" customFormat="false" ht="15" hidden="false" customHeight="false" outlineLevel="0" collapsed="false"/>
    <row r="2567" customFormat="false" ht="15" hidden="false" customHeight="false" outlineLevel="0" collapsed="false"/>
    <row r="2568" customFormat="false" ht="15" hidden="false" customHeight="false" outlineLevel="0" collapsed="false"/>
    <row r="2569" customFormat="false" ht="15" hidden="false" customHeight="false" outlineLevel="0" collapsed="false"/>
    <row r="2570" customFormat="false" ht="15" hidden="false" customHeight="false" outlineLevel="0" collapsed="false"/>
    <row r="2571" customFormat="false" ht="15" hidden="false" customHeight="false" outlineLevel="0" collapsed="false"/>
    <row r="2572" customFormat="false" ht="15" hidden="false" customHeight="false" outlineLevel="0" collapsed="false"/>
    <row r="2573" customFormat="false" ht="15" hidden="false" customHeight="false" outlineLevel="0" collapsed="false"/>
    <row r="2574" customFormat="false" ht="15" hidden="false" customHeight="false" outlineLevel="0" collapsed="false"/>
    <row r="2575" customFormat="false" ht="15" hidden="false" customHeight="false" outlineLevel="0" collapsed="false"/>
    <row r="2576" customFormat="false" ht="15" hidden="false" customHeight="false" outlineLevel="0" collapsed="false"/>
    <row r="2577" customFormat="false" ht="15" hidden="false" customHeight="false" outlineLevel="0" collapsed="false"/>
    <row r="2578" customFormat="false" ht="15" hidden="false" customHeight="false" outlineLevel="0" collapsed="false"/>
    <row r="2579" customFormat="false" ht="15" hidden="false" customHeight="false" outlineLevel="0" collapsed="false"/>
    <row r="2580" customFormat="false" ht="15" hidden="false" customHeight="false" outlineLevel="0" collapsed="false"/>
    <row r="2581" customFormat="false" ht="15" hidden="false" customHeight="false" outlineLevel="0" collapsed="false"/>
    <row r="2582" customFormat="false" ht="15" hidden="false" customHeight="false" outlineLevel="0" collapsed="false"/>
    <row r="2583" customFormat="false" ht="15" hidden="false" customHeight="false" outlineLevel="0" collapsed="false"/>
    <row r="2584" customFormat="false" ht="15" hidden="false" customHeight="false" outlineLevel="0" collapsed="false"/>
    <row r="2585" customFormat="false" ht="15" hidden="false" customHeight="false" outlineLevel="0" collapsed="false"/>
    <row r="2586" customFormat="false" ht="15" hidden="false" customHeight="false" outlineLevel="0" collapsed="false"/>
    <row r="2587" customFormat="false" ht="15" hidden="false" customHeight="false" outlineLevel="0" collapsed="false"/>
    <row r="2588" customFormat="false" ht="15" hidden="false" customHeight="false" outlineLevel="0" collapsed="false"/>
    <row r="2589" customFormat="false" ht="15" hidden="false" customHeight="false" outlineLevel="0" collapsed="false"/>
    <row r="2590" customFormat="false" ht="15" hidden="false" customHeight="false" outlineLevel="0" collapsed="false"/>
    <row r="2591" customFormat="false" ht="15" hidden="false" customHeight="false" outlineLevel="0" collapsed="false"/>
    <row r="2592" customFormat="false" ht="15" hidden="false" customHeight="false" outlineLevel="0" collapsed="false"/>
    <row r="2593" customFormat="false" ht="15" hidden="false" customHeight="false" outlineLevel="0" collapsed="false"/>
    <row r="2594" customFormat="false" ht="15" hidden="false" customHeight="false" outlineLevel="0" collapsed="false"/>
    <row r="2595" customFormat="false" ht="15" hidden="false" customHeight="false" outlineLevel="0" collapsed="false"/>
    <row r="2596" customFormat="false" ht="15" hidden="false" customHeight="false" outlineLevel="0" collapsed="false"/>
    <row r="2597" customFormat="false" ht="15" hidden="false" customHeight="false" outlineLevel="0" collapsed="false"/>
    <row r="2598" customFormat="false" ht="15" hidden="false" customHeight="false" outlineLevel="0" collapsed="false"/>
    <row r="2599" customFormat="false" ht="15" hidden="false" customHeight="false" outlineLevel="0" collapsed="false"/>
    <row r="2600" customFormat="false" ht="15" hidden="false" customHeight="false" outlineLevel="0" collapsed="false"/>
    <row r="2601" customFormat="false" ht="15" hidden="false" customHeight="false" outlineLevel="0" collapsed="false"/>
    <row r="2602" customFormat="false" ht="15" hidden="false" customHeight="false" outlineLevel="0" collapsed="false"/>
    <row r="2603" customFormat="false" ht="15" hidden="false" customHeight="false" outlineLevel="0" collapsed="false"/>
    <row r="2604" customFormat="false" ht="15" hidden="false" customHeight="false" outlineLevel="0" collapsed="false"/>
    <row r="2605" customFormat="false" ht="15" hidden="false" customHeight="false" outlineLevel="0" collapsed="false"/>
    <row r="2606" customFormat="false" ht="15" hidden="false" customHeight="false" outlineLevel="0" collapsed="false"/>
    <row r="2607" customFormat="false" ht="15" hidden="false" customHeight="false" outlineLevel="0" collapsed="false"/>
    <row r="2608" customFormat="false" ht="15" hidden="false" customHeight="false" outlineLevel="0" collapsed="false"/>
    <row r="2609" customFormat="false" ht="15" hidden="false" customHeight="false" outlineLevel="0" collapsed="false"/>
    <row r="2610" customFormat="false" ht="15" hidden="false" customHeight="false" outlineLevel="0" collapsed="false"/>
    <row r="2611" customFormat="false" ht="15" hidden="false" customHeight="false" outlineLevel="0" collapsed="false"/>
    <row r="2612" customFormat="false" ht="15" hidden="false" customHeight="false" outlineLevel="0" collapsed="false"/>
    <row r="2613" customFormat="false" ht="15" hidden="false" customHeight="false" outlineLevel="0" collapsed="false"/>
    <row r="2614" customFormat="false" ht="15" hidden="false" customHeight="false" outlineLevel="0" collapsed="false"/>
    <row r="2615" customFormat="false" ht="15" hidden="false" customHeight="false" outlineLevel="0" collapsed="false"/>
    <row r="2616" customFormat="false" ht="15" hidden="false" customHeight="false" outlineLevel="0" collapsed="false"/>
    <row r="2617" customFormat="false" ht="15" hidden="false" customHeight="false" outlineLevel="0" collapsed="false"/>
    <row r="2618" customFormat="false" ht="15" hidden="false" customHeight="false" outlineLevel="0" collapsed="false"/>
    <row r="2619" customFormat="false" ht="15" hidden="false" customHeight="false" outlineLevel="0" collapsed="false"/>
    <row r="2620" customFormat="false" ht="15" hidden="false" customHeight="false" outlineLevel="0" collapsed="false"/>
    <row r="2621" customFormat="false" ht="15" hidden="false" customHeight="false" outlineLevel="0" collapsed="false"/>
    <row r="2622" customFormat="false" ht="15" hidden="false" customHeight="false" outlineLevel="0" collapsed="false"/>
    <row r="2623" customFormat="false" ht="15" hidden="false" customHeight="false" outlineLevel="0" collapsed="false"/>
    <row r="2624" customFormat="false" ht="15" hidden="false" customHeight="false" outlineLevel="0" collapsed="false"/>
    <row r="2625" customFormat="false" ht="15" hidden="false" customHeight="false" outlineLevel="0" collapsed="false"/>
    <row r="2626" customFormat="false" ht="15" hidden="false" customHeight="false" outlineLevel="0" collapsed="false"/>
    <row r="2627" customFormat="false" ht="15" hidden="false" customHeight="false" outlineLevel="0" collapsed="false"/>
    <row r="2628" customFormat="false" ht="15" hidden="false" customHeight="false" outlineLevel="0" collapsed="false"/>
    <row r="2629" customFormat="false" ht="15" hidden="false" customHeight="false" outlineLevel="0" collapsed="false"/>
    <row r="2630" customFormat="false" ht="15" hidden="false" customHeight="false" outlineLevel="0" collapsed="false"/>
    <row r="2631" customFormat="false" ht="15" hidden="false" customHeight="false" outlineLevel="0" collapsed="false"/>
    <row r="2632" customFormat="false" ht="15" hidden="false" customHeight="false" outlineLevel="0" collapsed="false"/>
    <row r="2633" customFormat="false" ht="15" hidden="false" customHeight="false" outlineLevel="0" collapsed="false"/>
    <row r="2634" customFormat="false" ht="15" hidden="false" customHeight="false" outlineLevel="0" collapsed="false"/>
    <row r="2635" customFormat="false" ht="15" hidden="false" customHeight="false" outlineLevel="0" collapsed="false"/>
    <row r="2636" customFormat="false" ht="15" hidden="false" customHeight="false" outlineLevel="0" collapsed="false"/>
    <row r="2637" customFormat="false" ht="15" hidden="false" customHeight="false" outlineLevel="0" collapsed="false"/>
    <row r="2638" customFormat="false" ht="15" hidden="false" customHeight="false" outlineLevel="0" collapsed="false"/>
    <row r="2639" customFormat="false" ht="15" hidden="false" customHeight="false" outlineLevel="0" collapsed="false"/>
    <row r="2640" customFormat="false" ht="15" hidden="false" customHeight="false" outlineLevel="0" collapsed="false"/>
    <row r="2641" customFormat="false" ht="15" hidden="false" customHeight="false" outlineLevel="0" collapsed="false"/>
    <row r="2642" customFormat="false" ht="15" hidden="false" customHeight="false" outlineLevel="0" collapsed="false"/>
    <row r="2643" customFormat="false" ht="15" hidden="false" customHeight="false" outlineLevel="0" collapsed="false"/>
    <row r="2644" customFormat="false" ht="15" hidden="false" customHeight="false" outlineLevel="0" collapsed="false"/>
    <row r="2645" customFormat="false" ht="15" hidden="false" customHeight="false" outlineLevel="0" collapsed="false"/>
    <row r="2646" customFormat="false" ht="15" hidden="false" customHeight="false" outlineLevel="0" collapsed="false"/>
    <row r="2647" customFormat="false" ht="15" hidden="false" customHeight="false" outlineLevel="0" collapsed="false"/>
    <row r="2648" customFormat="false" ht="15" hidden="false" customHeight="false" outlineLevel="0" collapsed="false"/>
    <row r="2649" customFormat="false" ht="15" hidden="false" customHeight="false" outlineLevel="0" collapsed="false"/>
    <row r="2650" customFormat="false" ht="15" hidden="false" customHeight="false" outlineLevel="0" collapsed="false"/>
    <row r="2651" customFormat="false" ht="15" hidden="false" customHeight="false" outlineLevel="0" collapsed="false"/>
    <row r="2652" customFormat="false" ht="15" hidden="false" customHeight="false" outlineLevel="0" collapsed="false"/>
    <row r="2653" customFormat="false" ht="15" hidden="false" customHeight="false" outlineLevel="0" collapsed="false"/>
    <row r="2654" customFormat="false" ht="15" hidden="false" customHeight="false" outlineLevel="0" collapsed="false"/>
    <row r="2655" customFormat="false" ht="15" hidden="false" customHeight="false" outlineLevel="0" collapsed="false"/>
    <row r="2656" customFormat="false" ht="15" hidden="false" customHeight="false" outlineLevel="0" collapsed="false"/>
    <row r="2657" customFormat="false" ht="15" hidden="false" customHeight="false" outlineLevel="0" collapsed="false"/>
    <row r="2658" customFormat="false" ht="15" hidden="false" customHeight="false" outlineLevel="0" collapsed="false"/>
    <row r="2659" customFormat="false" ht="15" hidden="false" customHeight="false" outlineLevel="0" collapsed="false"/>
    <row r="2660" customFormat="false" ht="15" hidden="false" customHeight="false" outlineLevel="0" collapsed="false"/>
    <row r="2661" customFormat="false" ht="15" hidden="false" customHeight="false" outlineLevel="0" collapsed="false"/>
    <row r="2662" customFormat="false" ht="15" hidden="false" customHeight="false" outlineLevel="0" collapsed="false"/>
    <row r="2663" customFormat="false" ht="15" hidden="false" customHeight="false" outlineLevel="0" collapsed="false"/>
    <row r="2664" customFormat="false" ht="15" hidden="false" customHeight="false" outlineLevel="0" collapsed="false"/>
    <row r="2665" customFormat="false" ht="15" hidden="false" customHeight="false" outlineLevel="0" collapsed="false"/>
    <row r="2666" customFormat="false" ht="15" hidden="false" customHeight="false" outlineLevel="0" collapsed="false"/>
    <row r="2667" customFormat="false" ht="15" hidden="false" customHeight="false" outlineLevel="0" collapsed="false"/>
    <row r="2668" customFormat="false" ht="15" hidden="false" customHeight="false" outlineLevel="0" collapsed="false"/>
    <row r="2669" customFormat="false" ht="15" hidden="false" customHeight="false" outlineLevel="0" collapsed="false"/>
    <row r="2670" customFormat="false" ht="15" hidden="false" customHeight="false" outlineLevel="0" collapsed="false"/>
    <row r="2671" customFormat="false" ht="15" hidden="false" customHeight="false" outlineLevel="0" collapsed="false"/>
    <row r="2672" customFormat="false" ht="15" hidden="false" customHeight="false" outlineLevel="0" collapsed="false"/>
    <row r="2673" customFormat="false" ht="15" hidden="false" customHeight="false" outlineLevel="0" collapsed="false"/>
    <row r="2674" customFormat="false" ht="15" hidden="false" customHeight="false" outlineLevel="0" collapsed="false"/>
    <row r="2675" customFormat="false" ht="15" hidden="false" customHeight="false" outlineLevel="0" collapsed="false"/>
    <row r="2676" customFormat="false" ht="15" hidden="false" customHeight="false" outlineLevel="0" collapsed="false"/>
    <row r="2677" customFormat="false" ht="15" hidden="false" customHeight="false" outlineLevel="0" collapsed="false"/>
    <row r="2678" customFormat="false" ht="15" hidden="false" customHeight="false" outlineLevel="0" collapsed="false"/>
    <row r="2679" customFormat="false" ht="15" hidden="false" customHeight="false" outlineLevel="0" collapsed="false"/>
    <row r="2680" customFormat="false" ht="15" hidden="false" customHeight="false" outlineLevel="0" collapsed="false"/>
    <row r="2681" customFormat="false" ht="15" hidden="false" customHeight="false" outlineLevel="0" collapsed="false"/>
    <row r="2682" customFormat="false" ht="15" hidden="false" customHeight="false" outlineLevel="0" collapsed="false"/>
    <row r="2683" customFormat="false" ht="15" hidden="false" customHeight="false" outlineLevel="0" collapsed="false"/>
    <row r="2684" customFormat="false" ht="15" hidden="false" customHeight="false" outlineLevel="0" collapsed="false"/>
    <row r="2685" customFormat="false" ht="15" hidden="false" customHeight="false" outlineLevel="0" collapsed="false"/>
    <row r="2686" customFormat="false" ht="15" hidden="false" customHeight="false" outlineLevel="0" collapsed="false"/>
    <row r="2687" customFormat="false" ht="15" hidden="false" customHeight="false" outlineLevel="0" collapsed="false"/>
    <row r="2688" customFormat="false" ht="15" hidden="false" customHeight="false" outlineLevel="0" collapsed="false"/>
    <row r="2689" customFormat="false" ht="15" hidden="false" customHeight="false" outlineLevel="0" collapsed="false"/>
    <row r="2690" customFormat="false" ht="15" hidden="false" customHeight="false" outlineLevel="0" collapsed="false"/>
    <row r="2691" customFormat="false" ht="15" hidden="false" customHeight="false" outlineLevel="0" collapsed="false"/>
    <row r="2692" customFormat="false" ht="15" hidden="false" customHeight="false" outlineLevel="0" collapsed="false"/>
    <row r="2693" customFormat="false" ht="15" hidden="false" customHeight="false" outlineLevel="0" collapsed="false"/>
    <row r="2694" customFormat="false" ht="15" hidden="false" customHeight="false" outlineLevel="0" collapsed="false"/>
    <row r="2695" customFormat="false" ht="15" hidden="false" customHeight="false" outlineLevel="0" collapsed="false"/>
    <row r="2696" customFormat="false" ht="15" hidden="false" customHeight="false" outlineLevel="0" collapsed="false"/>
    <row r="2697" customFormat="false" ht="15" hidden="false" customHeight="false" outlineLevel="0" collapsed="false"/>
    <row r="2698" customFormat="false" ht="15" hidden="false" customHeight="false" outlineLevel="0" collapsed="false"/>
    <row r="2699" customFormat="false" ht="15" hidden="false" customHeight="false" outlineLevel="0" collapsed="false"/>
    <row r="2700" customFormat="false" ht="15" hidden="false" customHeight="false" outlineLevel="0" collapsed="false"/>
    <row r="2701" customFormat="false" ht="15" hidden="false" customHeight="false" outlineLevel="0" collapsed="false"/>
    <row r="2702" customFormat="false" ht="15" hidden="false" customHeight="false" outlineLevel="0" collapsed="false"/>
    <row r="2703" customFormat="false" ht="15" hidden="false" customHeight="false" outlineLevel="0" collapsed="false"/>
    <row r="2704" customFormat="false" ht="15" hidden="false" customHeight="false" outlineLevel="0" collapsed="false"/>
    <row r="2705" customFormat="false" ht="15" hidden="false" customHeight="false" outlineLevel="0" collapsed="false"/>
    <row r="2706" customFormat="false" ht="15" hidden="false" customHeight="false" outlineLevel="0" collapsed="false"/>
    <row r="2707" customFormat="false" ht="15" hidden="false" customHeight="false" outlineLevel="0" collapsed="false"/>
    <row r="2708" customFormat="false" ht="15" hidden="false" customHeight="false" outlineLevel="0" collapsed="false"/>
    <row r="2709" customFormat="false" ht="15" hidden="false" customHeight="false" outlineLevel="0" collapsed="false"/>
    <row r="2710" customFormat="false" ht="15" hidden="false" customHeight="false" outlineLevel="0" collapsed="false"/>
    <row r="2711" customFormat="false" ht="15" hidden="false" customHeight="false" outlineLevel="0" collapsed="false"/>
    <row r="2712" customFormat="false" ht="15" hidden="false" customHeight="false" outlineLevel="0" collapsed="false"/>
    <row r="2713" customFormat="false" ht="15" hidden="false" customHeight="false" outlineLevel="0" collapsed="false"/>
    <row r="2714" customFormat="false" ht="15" hidden="false" customHeight="false" outlineLevel="0" collapsed="false"/>
    <row r="2715" customFormat="false" ht="15" hidden="false" customHeight="false" outlineLevel="0" collapsed="false"/>
    <row r="2716" customFormat="false" ht="15" hidden="false" customHeight="false" outlineLevel="0" collapsed="false"/>
    <row r="2717" customFormat="false" ht="15" hidden="false" customHeight="false" outlineLevel="0" collapsed="false"/>
    <row r="2718" customFormat="false" ht="15" hidden="false" customHeight="false" outlineLevel="0" collapsed="false"/>
    <row r="2719" customFormat="false" ht="15" hidden="false" customHeight="false" outlineLevel="0" collapsed="false"/>
    <row r="2720" customFormat="false" ht="15" hidden="false" customHeight="false" outlineLevel="0" collapsed="false"/>
    <row r="2721" customFormat="false" ht="15" hidden="false" customHeight="false" outlineLevel="0" collapsed="false"/>
    <row r="2722" customFormat="false" ht="15" hidden="false" customHeight="false" outlineLevel="0" collapsed="false"/>
    <row r="2723" customFormat="false" ht="15" hidden="false" customHeight="false" outlineLevel="0" collapsed="false"/>
    <row r="2724" customFormat="false" ht="15" hidden="false" customHeight="false" outlineLevel="0" collapsed="false"/>
    <row r="2725" customFormat="false" ht="15" hidden="false" customHeight="false" outlineLevel="0" collapsed="false"/>
    <row r="2726" customFormat="false" ht="15" hidden="false" customHeight="false" outlineLevel="0" collapsed="false"/>
    <row r="2727" customFormat="false" ht="15" hidden="false" customHeight="false" outlineLevel="0" collapsed="false"/>
    <row r="2728" customFormat="false" ht="15" hidden="false" customHeight="false" outlineLevel="0" collapsed="false"/>
    <row r="2729" customFormat="false" ht="15" hidden="false" customHeight="false" outlineLevel="0" collapsed="false"/>
    <row r="2730" customFormat="false" ht="15" hidden="false" customHeight="false" outlineLevel="0" collapsed="false"/>
    <row r="2731" customFormat="false" ht="15" hidden="false" customHeight="false" outlineLevel="0" collapsed="false"/>
    <row r="2732" customFormat="false" ht="15" hidden="false" customHeight="false" outlineLevel="0" collapsed="false"/>
    <row r="2733" customFormat="false" ht="15" hidden="false" customHeight="false" outlineLevel="0" collapsed="false"/>
    <row r="2734" customFormat="false" ht="15" hidden="false" customHeight="false" outlineLevel="0" collapsed="false"/>
    <row r="2735" customFormat="false" ht="15" hidden="false" customHeight="false" outlineLevel="0" collapsed="false"/>
    <row r="2736" customFormat="false" ht="15" hidden="false" customHeight="false" outlineLevel="0" collapsed="false"/>
    <row r="2737" customFormat="false" ht="15" hidden="false" customHeight="false" outlineLevel="0" collapsed="false"/>
    <row r="2738" customFormat="false" ht="15" hidden="false" customHeight="false" outlineLevel="0" collapsed="false"/>
    <row r="2739" customFormat="false" ht="15" hidden="false" customHeight="false" outlineLevel="0" collapsed="false"/>
    <row r="2740" customFormat="false" ht="15" hidden="false" customHeight="false" outlineLevel="0" collapsed="false"/>
    <row r="2741" customFormat="false" ht="15" hidden="false" customHeight="false" outlineLevel="0" collapsed="false"/>
    <row r="2742" customFormat="false" ht="15" hidden="false" customHeight="false" outlineLevel="0" collapsed="false"/>
    <row r="2743" customFormat="false" ht="15" hidden="false" customHeight="false" outlineLevel="0" collapsed="false"/>
    <row r="2744" customFormat="false" ht="15" hidden="false" customHeight="false" outlineLevel="0" collapsed="false"/>
    <row r="2745" customFormat="false" ht="15" hidden="false" customHeight="false" outlineLevel="0" collapsed="false"/>
    <row r="2746" customFormat="false" ht="15" hidden="false" customHeight="false" outlineLevel="0" collapsed="false"/>
    <row r="2747" customFormat="false" ht="15" hidden="false" customHeight="false" outlineLevel="0" collapsed="false"/>
    <row r="2748" customFormat="false" ht="15" hidden="false" customHeight="false" outlineLevel="0" collapsed="false"/>
    <row r="2749" customFormat="false" ht="15" hidden="false" customHeight="false" outlineLevel="0" collapsed="false"/>
    <row r="2750" customFormat="false" ht="15" hidden="false" customHeight="false" outlineLevel="0" collapsed="false"/>
    <row r="2751" customFormat="false" ht="15" hidden="false" customHeight="false" outlineLevel="0" collapsed="false"/>
    <row r="2752" customFormat="false" ht="15" hidden="false" customHeight="false" outlineLevel="0" collapsed="false"/>
    <row r="2753" customFormat="false" ht="15" hidden="false" customHeight="false" outlineLevel="0" collapsed="false"/>
    <row r="2754" customFormat="false" ht="15" hidden="false" customHeight="false" outlineLevel="0" collapsed="false"/>
    <row r="2755" customFormat="false" ht="15" hidden="false" customHeight="false" outlineLevel="0" collapsed="false"/>
    <row r="2756" customFormat="false" ht="15" hidden="false" customHeight="false" outlineLevel="0" collapsed="false"/>
    <row r="2757" customFormat="false" ht="15" hidden="false" customHeight="false" outlineLevel="0" collapsed="false"/>
    <row r="2758" customFormat="false" ht="15" hidden="false" customHeight="false" outlineLevel="0" collapsed="false"/>
    <row r="2759" customFormat="false" ht="15" hidden="false" customHeight="false" outlineLevel="0" collapsed="false"/>
    <row r="2760" customFormat="false" ht="15" hidden="false" customHeight="false" outlineLevel="0" collapsed="false"/>
    <row r="2761" customFormat="false" ht="15" hidden="false" customHeight="false" outlineLevel="0" collapsed="false"/>
    <row r="2762" customFormat="false" ht="15" hidden="false" customHeight="false" outlineLevel="0" collapsed="false"/>
    <row r="2763" customFormat="false" ht="15" hidden="false" customHeight="false" outlineLevel="0" collapsed="false"/>
    <row r="2764" customFormat="false" ht="15" hidden="false" customHeight="false" outlineLevel="0" collapsed="false"/>
    <row r="2765" customFormat="false" ht="15" hidden="false" customHeight="false" outlineLevel="0" collapsed="false"/>
    <row r="2766" customFormat="false" ht="15" hidden="false" customHeight="false" outlineLevel="0" collapsed="false"/>
    <row r="2767" customFormat="false" ht="15" hidden="false" customHeight="false" outlineLevel="0" collapsed="false"/>
    <row r="2768" customFormat="false" ht="15" hidden="false" customHeight="false" outlineLevel="0" collapsed="false"/>
    <row r="2769" customFormat="false" ht="15" hidden="false" customHeight="false" outlineLevel="0" collapsed="false"/>
    <row r="2770" customFormat="false" ht="15" hidden="false" customHeight="false" outlineLevel="0" collapsed="false"/>
    <row r="2771" customFormat="false" ht="15" hidden="false" customHeight="false" outlineLevel="0" collapsed="false"/>
    <row r="2772" customFormat="false" ht="15" hidden="false" customHeight="false" outlineLevel="0" collapsed="false"/>
    <row r="2773" customFormat="false" ht="15" hidden="false" customHeight="false" outlineLevel="0" collapsed="false"/>
    <row r="2774" customFormat="false" ht="15" hidden="false" customHeight="false" outlineLevel="0" collapsed="false"/>
    <row r="2775" customFormat="false" ht="15" hidden="false" customHeight="false" outlineLevel="0" collapsed="false"/>
    <row r="2776" customFormat="false" ht="15" hidden="false" customHeight="false" outlineLevel="0" collapsed="false"/>
    <row r="2777" customFormat="false" ht="15" hidden="false" customHeight="false" outlineLevel="0" collapsed="false"/>
    <row r="2778" customFormat="false" ht="15" hidden="false" customHeight="false" outlineLevel="0" collapsed="false"/>
    <row r="2779" customFormat="false" ht="15" hidden="false" customHeight="false" outlineLevel="0" collapsed="false"/>
    <row r="2780" customFormat="false" ht="15" hidden="false" customHeight="false" outlineLevel="0" collapsed="false"/>
    <row r="2781" customFormat="false" ht="15" hidden="false" customHeight="false" outlineLevel="0" collapsed="false"/>
    <row r="2782" customFormat="false" ht="15" hidden="false" customHeight="false" outlineLevel="0" collapsed="false"/>
    <row r="2783" customFormat="false" ht="15" hidden="false" customHeight="false" outlineLevel="0" collapsed="false"/>
    <row r="2784" customFormat="false" ht="15" hidden="false" customHeight="false" outlineLevel="0" collapsed="false"/>
    <row r="2785" customFormat="false" ht="15" hidden="false" customHeight="false" outlineLevel="0" collapsed="false"/>
    <row r="2786" customFormat="false" ht="15" hidden="false" customHeight="false" outlineLevel="0" collapsed="false"/>
    <row r="2787" customFormat="false" ht="15" hidden="false" customHeight="false" outlineLevel="0" collapsed="false"/>
    <row r="2788" customFormat="false" ht="15" hidden="false" customHeight="false" outlineLevel="0" collapsed="false"/>
    <row r="2789" customFormat="false" ht="15" hidden="false" customHeight="false" outlineLevel="0" collapsed="false"/>
    <row r="2790" customFormat="false" ht="15" hidden="false" customHeight="false" outlineLevel="0" collapsed="false"/>
    <row r="2791" customFormat="false" ht="15" hidden="false" customHeight="false" outlineLevel="0" collapsed="false"/>
    <row r="2792" customFormat="false" ht="15" hidden="false" customHeight="false" outlineLevel="0" collapsed="false"/>
    <row r="2793" customFormat="false" ht="15" hidden="false" customHeight="false" outlineLevel="0" collapsed="false"/>
    <row r="2794" customFormat="false" ht="15" hidden="false" customHeight="false" outlineLevel="0" collapsed="false"/>
    <row r="2795" customFormat="false" ht="15" hidden="false" customHeight="false" outlineLevel="0" collapsed="false"/>
    <row r="2796" customFormat="false" ht="15" hidden="false" customHeight="false" outlineLevel="0" collapsed="false"/>
    <row r="2797" customFormat="false" ht="15" hidden="false" customHeight="false" outlineLevel="0" collapsed="false"/>
    <row r="2798" customFormat="false" ht="15" hidden="false" customHeight="false" outlineLevel="0" collapsed="false"/>
    <row r="2799" customFormat="false" ht="15" hidden="false" customHeight="false" outlineLevel="0" collapsed="false"/>
    <row r="2800" customFormat="false" ht="15" hidden="false" customHeight="false" outlineLevel="0" collapsed="false"/>
    <row r="2801" customFormat="false" ht="15" hidden="false" customHeight="false" outlineLevel="0" collapsed="false"/>
    <row r="2802" customFormat="false" ht="15" hidden="false" customHeight="false" outlineLevel="0" collapsed="false"/>
    <row r="2803" customFormat="false" ht="15" hidden="false" customHeight="false" outlineLevel="0" collapsed="false"/>
    <row r="2804" customFormat="false" ht="15" hidden="false" customHeight="false" outlineLevel="0" collapsed="false"/>
    <row r="2805" customFormat="false" ht="15" hidden="false" customHeight="false" outlineLevel="0" collapsed="false"/>
    <row r="2806" customFormat="false" ht="15" hidden="false" customHeight="false" outlineLevel="0" collapsed="false"/>
    <row r="2807" customFormat="false" ht="15" hidden="false" customHeight="false" outlineLevel="0" collapsed="false"/>
    <row r="2808" customFormat="false" ht="15" hidden="false" customHeight="false" outlineLevel="0" collapsed="false"/>
    <row r="2809" customFormat="false" ht="15" hidden="false" customHeight="false" outlineLevel="0" collapsed="false"/>
    <row r="2810" customFormat="false" ht="15" hidden="false" customHeight="false" outlineLevel="0" collapsed="false"/>
    <row r="2811" customFormat="false" ht="15" hidden="false" customHeight="false" outlineLevel="0" collapsed="false"/>
    <row r="2812" customFormat="false" ht="15" hidden="false" customHeight="false" outlineLevel="0" collapsed="false"/>
    <row r="2813" customFormat="false" ht="15" hidden="false" customHeight="false" outlineLevel="0" collapsed="false"/>
    <row r="2814" customFormat="false" ht="15" hidden="false" customHeight="false" outlineLevel="0" collapsed="false"/>
    <row r="2815" customFormat="false" ht="15" hidden="false" customHeight="false" outlineLevel="0" collapsed="false"/>
    <row r="2816" customFormat="false" ht="15" hidden="false" customHeight="false" outlineLevel="0" collapsed="false"/>
    <row r="2817" customFormat="false" ht="15" hidden="false" customHeight="false" outlineLevel="0" collapsed="false"/>
    <row r="2818" customFormat="false" ht="15" hidden="false" customHeight="false" outlineLevel="0" collapsed="false"/>
    <row r="2819" customFormat="false" ht="15" hidden="false" customHeight="false" outlineLevel="0" collapsed="false"/>
    <row r="2820" customFormat="false" ht="15" hidden="false" customHeight="false" outlineLevel="0" collapsed="false"/>
    <row r="2821" customFormat="false" ht="15" hidden="false" customHeight="false" outlineLevel="0" collapsed="false"/>
    <row r="2822" customFormat="false" ht="15" hidden="false" customHeight="false" outlineLevel="0" collapsed="false"/>
    <row r="2823" customFormat="false" ht="15" hidden="false" customHeight="false" outlineLevel="0" collapsed="false"/>
    <row r="2824" customFormat="false" ht="15" hidden="false" customHeight="false" outlineLevel="0" collapsed="false"/>
    <row r="2825" customFormat="false" ht="15" hidden="false" customHeight="false" outlineLevel="0" collapsed="false"/>
    <row r="2826" customFormat="false" ht="15" hidden="false" customHeight="false" outlineLevel="0" collapsed="false"/>
    <row r="2827" customFormat="false" ht="15" hidden="false" customHeight="false" outlineLevel="0" collapsed="false"/>
    <row r="2828" customFormat="false" ht="15" hidden="false" customHeight="false" outlineLevel="0" collapsed="false"/>
    <row r="2829" customFormat="false" ht="15" hidden="false" customHeight="false" outlineLevel="0" collapsed="false"/>
    <row r="2830" customFormat="false" ht="15" hidden="false" customHeight="false" outlineLevel="0" collapsed="false"/>
    <row r="2831" customFormat="false" ht="15" hidden="false" customHeight="false" outlineLevel="0" collapsed="false"/>
    <row r="2832" customFormat="false" ht="15" hidden="false" customHeight="false" outlineLevel="0" collapsed="false"/>
    <row r="2833" customFormat="false" ht="15" hidden="false" customHeight="false" outlineLevel="0" collapsed="false"/>
    <row r="2834" customFormat="false" ht="15" hidden="false" customHeight="false" outlineLevel="0" collapsed="false"/>
    <row r="2835" customFormat="false" ht="15" hidden="false" customHeight="false" outlineLevel="0" collapsed="false"/>
    <row r="2836" customFormat="false" ht="15" hidden="false" customHeight="false" outlineLevel="0" collapsed="false"/>
    <row r="2837" customFormat="false" ht="15" hidden="false" customHeight="false" outlineLevel="0" collapsed="false"/>
    <row r="2838" customFormat="false" ht="15" hidden="false" customHeight="false" outlineLevel="0" collapsed="false"/>
    <row r="2839" customFormat="false" ht="15" hidden="false" customHeight="false" outlineLevel="0" collapsed="false"/>
    <row r="2840" customFormat="false" ht="15" hidden="false" customHeight="false" outlineLevel="0" collapsed="false"/>
    <row r="2841" customFormat="false" ht="15" hidden="false" customHeight="false" outlineLevel="0" collapsed="false"/>
    <row r="2842" customFormat="false" ht="15" hidden="false" customHeight="false" outlineLevel="0" collapsed="false"/>
    <row r="2843" customFormat="false" ht="15" hidden="false" customHeight="false" outlineLevel="0" collapsed="false"/>
    <row r="2844" customFormat="false" ht="15" hidden="false" customHeight="false" outlineLevel="0" collapsed="false"/>
    <row r="2845" customFormat="false" ht="15" hidden="false" customHeight="false" outlineLevel="0" collapsed="false"/>
    <row r="2846" customFormat="false" ht="15" hidden="false" customHeight="false" outlineLevel="0" collapsed="false"/>
    <row r="2847" customFormat="false" ht="15" hidden="false" customHeight="false" outlineLevel="0" collapsed="false"/>
    <row r="2848" customFormat="false" ht="15" hidden="false" customHeight="false" outlineLevel="0" collapsed="false"/>
    <row r="2849" customFormat="false" ht="15" hidden="false" customHeight="false" outlineLevel="0" collapsed="false"/>
    <row r="2850" customFormat="false" ht="15" hidden="false" customHeight="false" outlineLevel="0" collapsed="false"/>
    <row r="2851" customFormat="false" ht="15" hidden="false" customHeight="false" outlineLevel="0" collapsed="false"/>
    <row r="2852" customFormat="false" ht="15" hidden="false" customHeight="false" outlineLevel="0" collapsed="false"/>
    <row r="2853" customFormat="false" ht="15" hidden="false" customHeight="false" outlineLevel="0" collapsed="false"/>
    <row r="2854" customFormat="false" ht="15" hidden="false" customHeight="false" outlineLevel="0" collapsed="false"/>
    <row r="2855" customFormat="false" ht="15" hidden="false" customHeight="false" outlineLevel="0" collapsed="false"/>
    <row r="2856" customFormat="false" ht="15" hidden="false" customHeight="false" outlineLevel="0" collapsed="false"/>
    <row r="2857" customFormat="false" ht="15" hidden="false" customHeight="false" outlineLevel="0" collapsed="false"/>
    <row r="2858" customFormat="false" ht="15" hidden="false" customHeight="false" outlineLevel="0" collapsed="false"/>
    <row r="2859" customFormat="false" ht="15" hidden="false" customHeight="false" outlineLevel="0" collapsed="false"/>
    <row r="2860" customFormat="false" ht="15" hidden="false" customHeight="false" outlineLevel="0" collapsed="false"/>
    <row r="2861" customFormat="false" ht="15" hidden="false" customHeight="false" outlineLevel="0" collapsed="false"/>
    <row r="2862" customFormat="false" ht="15" hidden="false" customHeight="false" outlineLevel="0" collapsed="false"/>
    <row r="2863" customFormat="false" ht="15" hidden="false" customHeight="false" outlineLevel="0" collapsed="false"/>
    <row r="2864" customFormat="false" ht="15" hidden="false" customHeight="false" outlineLevel="0" collapsed="false"/>
    <row r="2865" customFormat="false" ht="15" hidden="false" customHeight="false" outlineLevel="0" collapsed="false"/>
    <row r="2866" customFormat="false" ht="15" hidden="false" customHeight="false" outlineLevel="0" collapsed="false"/>
    <row r="2867" customFormat="false" ht="15" hidden="false" customHeight="false" outlineLevel="0" collapsed="false"/>
    <row r="2868" customFormat="false" ht="15" hidden="false" customHeight="false" outlineLevel="0" collapsed="false"/>
    <row r="2869" customFormat="false" ht="15" hidden="false" customHeight="false" outlineLevel="0" collapsed="false"/>
    <row r="2870" customFormat="false" ht="15" hidden="false" customHeight="false" outlineLevel="0" collapsed="false"/>
    <row r="2871" customFormat="false" ht="15" hidden="false" customHeight="false" outlineLevel="0" collapsed="false"/>
    <row r="2872" customFormat="false" ht="15" hidden="false" customHeight="false" outlineLevel="0" collapsed="false"/>
    <row r="2873" customFormat="false" ht="15" hidden="false" customHeight="false" outlineLevel="0" collapsed="false"/>
    <row r="2874" customFormat="false" ht="15" hidden="false" customHeight="false" outlineLevel="0" collapsed="false"/>
    <row r="2875" customFormat="false" ht="15" hidden="false" customHeight="false" outlineLevel="0" collapsed="false"/>
    <row r="2876" customFormat="false" ht="15" hidden="false" customHeight="false" outlineLevel="0" collapsed="false"/>
    <row r="2877" customFormat="false" ht="15" hidden="false" customHeight="false" outlineLevel="0" collapsed="false"/>
    <row r="2878" customFormat="false" ht="15" hidden="false" customHeight="false" outlineLevel="0" collapsed="false"/>
    <row r="2879" customFormat="false" ht="15" hidden="false" customHeight="false" outlineLevel="0" collapsed="false"/>
    <row r="2880" customFormat="false" ht="15" hidden="false" customHeight="false" outlineLevel="0" collapsed="false"/>
    <row r="2881" customFormat="false" ht="15" hidden="false" customHeight="false" outlineLevel="0" collapsed="false"/>
    <row r="2882" customFormat="false" ht="15" hidden="false" customHeight="false" outlineLevel="0" collapsed="false"/>
    <row r="2883" customFormat="false" ht="15" hidden="false" customHeight="false" outlineLevel="0" collapsed="false"/>
    <row r="2884" customFormat="false" ht="15" hidden="false" customHeight="false" outlineLevel="0" collapsed="false"/>
    <row r="2885" customFormat="false" ht="15" hidden="false" customHeight="false" outlineLevel="0" collapsed="false"/>
    <row r="2886" customFormat="false" ht="15" hidden="false" customHeight="false" outlineLevel="0" collapsed="false"/>
    <row r="2887" customFormat="false" ht="15" hidden="false" customHeight="false" outlineLevel="0" collapsed="false"/>
    <row r="2888" customFormat="false" ht="15" hidden="false" customHeight="false" outlineLevel="0" collapsed="false"/>
    <row r="2889" customFormat="false" ht="15" hidden="false" customHeight="false" outlineLevel="0" collapsed="false"/>
    <row r="2890" customFormat="false" ht="15" hidden="false" customHeight="false" outlineLevel="0" collapsed="false"/>
    <row r="2891" customFormat="false" ht="15" hidden="false" customHeight="false" outlineLevel="0" collapsed="false"/>
    <row r="2892" customFormat="false" ht="15" hidden="false" customHeight="false" outlineLevel="0" collapsed="false"/>
    <row r="2893" customFormat="false" ht="15" hidden="false" customHeight="false" outlineLevel="0" collapsed="false"/>
    <row r="2894" customFormat="false" ht="15" hidden="false" customHeight="false" outlineLevel="0" collapsed="false"/>
    <row r="2895" customFormat="false" ht="15" hidden="false" customHeight="false" outlineLevel="0" collapsed="false"/>
    <row r="2896" customFormat="false" ht="15" hidden="false" customHeight="false" outlineLevel="0" collapsed="false"/>
    <row r="2897" customFormat="false" ht="15" hidden="false" customHeight="false" outlineLevel="0" collapsed="false"/>
    <row r="2898" customFormat="false" ht="15" hidden="false" customHeight="false" outlineLevel="0" collapsed="false"/>
    <row r="2899" customFormat="false" ht="15" hidden="false" customHeight="false" outlineLevel="0" collapsed="false"/>
    <row r="2900" customFormat="false" ht="15" hidden="false" customHeight="false" outlineLevel="0" collapsed="false"/>
    <row r="2901" customFormat="false" ht="15" hidden="false" customHeight="false" outlineLevel="0" collapsed="false"/>
    <row r="2902" customFormat="false" ht="15" hidden="false" customHeight="false" outlineLevel="0" collapsed="false"/>
    <row r="2903" customFormat="false" ht="15" hidden="false" customHeight="false" outlineLevel="0" collapsed="false"/>
    <row r="2904" customFormat="false" ht="15" hidden="false" customHeight="false" outlineLevel="0" collapsed="false"/>
    <row r="2905" customFormat="false" ht="15" hidden="false" customHeight="false" outlineLevel="0" collapsed="false"/>
    <row r="2906" customFormat="false" ht="15" hidden="false" customHeight="false" outlineLevel="0" collapsed="false"/>
    <row r="2907" customFormat="false" ht="15" hidden="false" customHeight="false" outlineLevel="0" collapsed="false"/>
    <row r="2908" customFormat="false" ht="15" hidden="false" customHeight="false" outlineLevel="0" collapsed="false"/>
    <row r="2909" customFormat="false" ht="15" hidden="false" customHeight="false" outlineLevel="0" collapsed="false"/>
    <row r="2910" customFormat="false" ht="15" hidden="false" customHeight="false" outlineLevel="0" collapsed="false"/>
    <row r="2911" customFormat="false" ht="15" hidden="false" customHeight="false" outlineLevel="0" collapsed="false"/>
    <row r="2912" customFormat="false" ht="15" hidden="false" customHeight="false" outlineLevel="0" collapsed="false"/>
    <row r="2913" customFormat="false" ht="15" hidden="false" customHeight="false" outlineLevel="0" collapsed="false"/>
    <row r="2914" customFormat="false" ht="15" hidden="false" customHeight="false" outlineLevel="0" collapsed="false"/>
    <row r="2915" customFormat="false" ht="15" hidden="false" customHeight="false" outlineLevel="0" collapsed="false"/>
    <row r="2916" customFormat="false" ht="15" hidden="false" customHeight="false" outlineLevel="0" collapsed="false"/>
    <row r="2917" customFormat="false" ht="15" hidden="false" customHeight="false" outlineLevel="0" collapsed="false"/>
    <row r="2918" customFormat="false" ht="15" hidden="false" customHeight="false" outlineLevel="0" collapsed="false"/>
    <row r="2919" customFormat="false" ht="15" hidden="false" customHeight="false" outlineLevel="0" collapsed="false"/>
    <row r="2920" customFormat="false" ht="15" hidden="false" customHeight="false" outlineLevel="0" collapsed="false"/>
    <row r="2921" customFormat="false" ht="15" hidden="false" customHeight="false" outlineLevel="0" collapsed="false"/>
    <row r="2922" customFormat="false" ht="15" hidden="false" customHeight="false" outlineLevel="0" collapsed="false"/>
    <row r="2923" customFormat="false" ht="15" hidden="false" customHeight="false" outlineLevel="0" collapsed="false"/>
    <row r="2924" customFormat="false" ht="15" hidden="false" customHeight="false" outlineLevel="0" collapsed="false"/>
    <row r="2925" customFormat="false" ht="15" hidden="false" customHeight="false" outlineLevel="0" collapsed="false"/>
    <row r="2926" customFormat="false" ht="15" hidden="false" customHeight="false" outlineLevel="0" collapsed="false"/>
    <row r="2927" customFormat="false" ht="15" hidden="false" customHeight="false" outlineLevel="0" collapsed="false"/>
    <row r="2928" customFormat="false" ht="15" hidden="false" customHeight="false" outlineLevel="0" collapsed="false"/>
    <row r="2929" customFormat="false" ht="15" hidden="false" customHeight="false" outlineLevel="0" collapsed="false"/>
    <row r="2930" customFormat="false" ht="15" hidden="false" customHeight="false" outlineLevel="0" collapsed="false"/>
    <row r="2931" customFormat="false" ht="15" hidden="false" customHeight="false" outlineLevel="0" collapsed="false"/>
    <row r="2932" customFormat="false" ht="15" hidden="false" customHeight="false" outlineLevel="0" collapsed="false"/>
    <row r="2933" customFormat="false" ht="15" hidden="false" customHeight="false" outlineLevel="0" collapsed="false"/>
    <row r="2934" customFormat="false" ht="15" hidden="false" customHeight="false" outlineLevel="0" collapsed="false"/>
    <row r="2935" customFormat="false" ht="15" hidden="false" customHeight="false" outlineLevel="0" collapsed="false"/>
    <row r="2936" customFormat="false" ht="15" hidden="false" customHeight="false" outlineLevel="0" collapsed="false"/>
    <row r="2937" customFormat="false" ht="15" hidden="false" customHeight="false" outlineLevel="0" collapsed="false"/>
    <row r="2938" customFormat="false" ht="15" hidden="false" customHeight="false" outlineLevel="0" collapsed="false"/>
    <row r="2939" customFormat="false" ht="15" hidden="false" customHeight="false" outlineLevel="0" collapsed="false"/>
    <row r="2940" customFormat="false" ht="15" hidden="false" customHeight="false" outlineLevel="0" collapsed="false"/>
    <row r="2941" customFormat="false" ht="15" hidden="false" customHeight="false" outlineLevel="0" collapsed="false"/>
    <row r="2942" customFormat="false" ht="15" hidden="false" customHeight="false" outlineLevel="0" collapsed="false"/>
    <row r="2943" customFormat="false" ht="15" hidden="false" customHeight="false" outlineLevel="0" collapsed="false"/>
    <row r="2944" customFormat="false" ht="15" hidden="false" customHeight="false" outlineLevel="0" collapsed="false"/>
    <row r="2945" customFormat="false" ht="15" hidden="false" customHeight="false" outlineLevel="0" collapsed="false"/>
    <row r="2946" customFormat="false" ht="15" hidden="false" customHeight="false" outlineLevel="0" collapsed="false"/>
    <row r="2947" customFormat="false" ht="15" hidden="false" customHeight="false" outlineLevel="0" collapsed="false"/>
    <row r="2948" customFormat="false" ht="15" hidden="false" customHeight="false" outlineLevel="0" collapsed="false"/>
    <row r="2949" customFormat="false" ht="15" hidden="false" customHeight="false" outlineLevel="0" collapsed="false"/>
    <row r="2950" customFormat="false" ht="15" hidden="false" customHeight="false" outlineLevel="0" collapsed="false"/>
    <row r="2951" customFormat="false" ht="15" hidden="false" customHeight="false" outlineLevel="0" collapsed="false"/>
    <row r="2952" customFormat="false" ht="15" hidden="false" customHeight="false" outlineLevel="0" collapsed="false"/>
    <row r="2953" customFormat="false" ht="15" hidden="false" customHeight="false" outlineLevel="0" collapsed="false"/>
    <row r="2954" customFormat="false" ht="15" hidden="false" customHeight="false" outlineLevel="0" collapsed="false"/>
    <row r="2955" customFormat="false" ht="15" hidden="false" customHeight="false" outlineLevel="0" collapsed="false"/>
    <row r="2956" customFormat="false" ht="15" hidden="false" customHeight="false" outlineLevel="0" collapsed="false"/>
    <row r="2957" customFormat="false" ht="15" hidden="false" customHeight="false" outlineLevel="0" collapsed="false"/>
    <row r="2958" customFormat="false" ht="15" hidden="false" customHeight="false" outlineLevel="0" collapsed="false"/>
    <row r="2959" customFormat="false" ht="15" hidden="false" customHeight="false" outlineLevel="0" collapsed="false"/>
    <row r="2960" customFormat="false" ht="15" hidden="false" customHeight="false" outlineLevel="0" collapsed="false"/>
    <row r="2961" customFormat="false" ht="15" hidden="false" customHeight="false" outlineLevel="0" collapsed="false"/>
    <row r="2962" customFormat="false" ht="15" hidden="false" customHeight="false" outlineLevel="0" collapsed="false"/>
    <row r="2963" customFormat="false" ht="15" hidden="false" customHeight="false" outlineLevel="0" collapsed="false"/>
    <row r="2964" customFormat="false" ht="15" hidden="false" customHeight="false" outlineLevel="0" collapsed="false"/>
    <row r="2965" customFormat="false" ht="15" hidden="false" customHeight="false" outlineLevel="0" collapsed="false"/>
    <row r="2966" customFormat="false" ht="15" hidden="false" customHeight="false" outlineLevel="0" collapsed="false"/>
    <row r="2967" customFormat="false" ht="15" hidden="false" customHeight="false" outlineLevel="0" collapsed="false"/>
    <row r="2968" customFormat="false" ht="15" hidden="false" customHeight="false" outlineLevel="0" collapsed="false"/>
    <row r="2969" customFormat="false" ht="15" hidden="false" customHeight="false" outlineLevel="0" collapsed="false"/>
    <row r="2970" customFormat="false" ht="15" hidden="false" customHeight="false" outlineLevel="0" collapsed="false"/>
    <row r="2971" customFormat="false" ht="15" hidden="false" customHeight="false" outlineLevel="0" collapsed="false"/>
    <row r="2972" customFormat="false" ht="15" hidden="false" customHeight="false" outlineLevel="0" collapsed="false"/>
    <row r="2973" customFormat="false" ht="15" hidden="false" customHeight="false" outlineLevel="0" collapsed="false"/>
    <row r="2974" customFormat="false" ht="15" hidden="false" customHeight="false" outlineLevel="0" collapsed="false"/>
    <row r="2975" customFormat="false" ht="15" hidden="false" customHeight="false" outlineLevel="0" collapsed="false"/>
    <row r="2976" customFormat="false" ht="15" hidden="false" customHeight="false" outlineLevel="0" collapsed="false"/>
    <row r="2977" customFormat="false" ht="15" hidden="false" customHeight="false" outlineLevel="0" collapsed="false"/>
    <row r="2978" customFormat="false" ht="15" hidden="false" customHeight="false" outlineLevel="0" collapsed="false"/>
    <row r="2979" customFormat="false" ht="15" hidden="false" customHeight="false" outlineLevel="0" collapsed="false"/>
    <row r="2980" customFormat="false" ht="15" hidden="false" customHeight="false" outlineLevel="0" collapsed="false"/>
    <row r="2981" customFormat="false" ht="15" hidden="false" customHeight="false" outlineLevel="0" collapsed="false"/>
    <row r="2982" customFormat="false" ht="15" hidden="false" customHeight="false" outlineLevel="0" collapsed="false"/>
    <row r="2983" customFormat="false" ht="15" hidden="false" customHeight="false" outlineLevel="0" collapsed="false"/>
    <row r="2984" customFormat="false" ht="15" hidden="false" customHeight="false" outlineLevel="0" collapsed="false"/>
    <row r="2985" customFormat="false" ht="15" hidden="false" customHeight="false" outlineLevel="0" collapsed="false"/>
    <row r="2986" customFormat="false" ht="15" hidden="false" customHeight="false" outlineLevel="0" collapsed="false"/>
    <row r="2987" customFormat="false" ht="15" hidden="false" customHeight="false" outlineLevel="0" collapsed="false"/>
    <row r="2988" customFormat="false" ht="15" hidden="false" customHeight="false" outlineLevel="0" collapsed="false"/>
    <row r="2989" customFormat="false" ht="15" hidden="false" customHeight="false" outlineLevel="0" collapsed="false"/>
    <row r="2990" customFormat="false" ht="15" hidden="false" customHeight="false" outlineLevel="0" collapsed="false"/>
    <row r="2991" customFormat="false" ht="15" hidden="false" customHeight="false" outlineLevel="0" collapsed="false"/>
    <row r="2992" customFormat="false" ht="15" hidden="false" customHeight="false" outlineLevel="0" collapsed="false"/>
    <row r="2993" customFormat="false" ht="15" hidden="false" customHeight="false" outlineLevel="0" collapsed="false"/>
    <row r="2994" customFormat="false" ht="15" hidden="false" customHeight="false" outlineLevel="0" collapsed="false"/>
    <row r="2995" customFormat="false" ht="15" hidden="false" customHeight="false" outlineLevel="0" collapsed="false"/>
    <row r="2996" customFormat="false" ht="15" hidden="false" customHeight="false" outlineLevel="0" collapsed="false"/>
    <row r="2997" customFormat="false" ht="15" hidden="false" customHeight="false" outlineLevel="0" collapsed="false"/>
    <row r="2998" customFormat="false" ht="15" hidden="false" customHeight="false" outlineLevel="0" collapsed="false"/>
    <row r="2999" customFormat="false" ht="15" hidden="false" customHeight="false" outlineLevel="0" collapsed="false"/>
    <row r="3000" customFormat="false" ht="15" hidden="false" customHeight="false" outlineLevel="0" collapsed="false"/>
    <row r="3001" customFormat="false" ht="15" hidden="false" customHeight="false" outlineLevel="0" collapsed="false"/>
    <row r="3002" customFormat="false" ht="15" hidden="false" customHeight="false" outlineLevel="0" collapsed="false"/>
    <row r="3003" customFormat="false" ht="15" hidden="false" customHeight="false" outlineLevel="0" collapsed="false"/>
    <row r="3004" customFormat="false" ht="15" hidden="false" customHeight="false" outlineLevel="0" collapsed="false"/>
    <row r="3005" customFormat="false" ht="15" hidden="false" customHeight="false" outlineLevel="0" collapsed="false"/>
    <row r="3006" customFormat="false" ht="15" hidden="false" customHeight="false" outlineLevel="0" collapsed="false"/>
    <row r="3007" customFormat="false" ht="15" hidden="false" customHeight="false" outlineLevel="0" collapsed="false"/>
    <row r="3008" customFormat="false" ht="15" hidden="false" customHeight="false" outlineLevel="0" collapsed="false"/>
    <row r="3009" customFormat="false" ht="15" hidden="false" customHeight="false" outlineLevel="0" collapsed="false"/>
    <row r="3010" customFormat="false" ht="15" hidden="false" customHeight="false" outlineLevel="0" collapsed="false"/>
    <row r="3011" customFormat="false" ht="15" hidden="false" customHeight="false" outlineLevel="0" collapsed="false"/>
    <row r="3012" customFormat="false" ht="15" hidden="false" customHeight="false" outlineLevel="0" collapsed="false"/>
    <row r="3013" customFormat="false" ht="15" hidden="false" customHeight="false" outlineLevel="0" collapsed="false"/>
    <row r="3014" customFormat="false" ht="15" hidden="false" customHeight="false" outlineLevel="0" collapsed="false"/>
    <row r="3015" customFormat="false" ht="15" hidden="false" customHeight="false" outlineLevel="0" collapsed="false"/>
    <row r="3016" customFormat="false" ht="15" hidden="false" customHeight="false" outlineLevel="0" collapsed="false"/>
    <row r="3017" customFormat="false" ht="15" hidden="false" customHeight="false" outlineLevel="0" collapsed="false"/>
    <row r="3018" customFormat="false" ht="15" hidden="false" customHeight="false" outlineLevel="0" collapsed="false"/>
    <row r="3019" customFormat="false" ht="15" hidden="false" customHeight="false" outlineLevel="0" collapsed="false"/>
    <row r="3020" customFormat="false" ht="15" hidden="false" customHeight="false" outlineLevel="0" collapsed="false"/>
    <row r="3021" customFormat="false" ht="15" hidden="false" customHeight="false" outlineLevel="0" collapsed="false"/>
    <row r="3022" customFormat="false" ht="15" hidden="false" customHeight="false" outlineLevel="0" collapsed="false"/>
    <row r="3023" customFormat="false" ht="15" hidden="false" customHeight="false" outlineLevel="0" collapsed="false"/>
    <row r="3024" customFormat="false" ht="15" hidden="false" customHeight="false" outlineLevel="0" collapsed="false"/>
    <row r="3025" customFormat="false" ht="15" hidden="false" customHeight="false" outlineLevel="0" collapsed="false"/>
    <row r="3026" customFormat="false" ht="15" hidden="false" customHeight="false" outlineLevel="0" collapsed="false"/>
    <row r="3027" customFormat="false" ht="15" hidden="false" customHeight="false" outlineLevel="0" collapsed="false"/>
    <row r="3028" customFormat="false" ht="15" hidden="false" customHeight="false" outlineLevel="0" collapsed="false"/>
    <row r="3029" customFormat="false" ht="15" hidden="false" customHeight="false" outlineLevel="0" collapsed="false"/>
    <row r="3030" customFormat="false" ht="15" hidden="false" customHeight="false" outlineLevel="0" collapsed="false"/>
    <row r="3031" customFormat="false" ht="15" hidden="false" customHeight="false" outlineLevel="0" collapsed="false"/>
    <row r="3032" customFormat="false" ht="15" hidden="false" customHeight="false" outlineLevel="0" collapsed="false"/>
    <row r="3033" customFormat="false" ht="15" hidden="false" customHeight="false" outlineLevel="0" collapsed="false"/>
    <row r="3034" customFormat="false" ht="15" hidden="false" customHeight="false" outlineLevel="0" collapsed="false"/>
    <row r="3035" customFormat="false" ht="15" hidden="false" customHeight="false" outlineLevel="0" collapsed="false"/>
    <row r="3036" customFormat="false" ht="15" hidden="false" customHeight="false" outlineLevel="0" collapsed="false"/>
    <row r="3037" customFormat="false" ht="15" hidden="false" customHeight="false" outlineLevel="0" collapsed="false"/>
    <row r="3038" customFormat="false" ht="15" hidden="false" customHeight="false" outlineLevel="0" collapsed="false"/>
    <row r="3039" customFormat="false" ht="15" hidden="false" customHeight="false" outlineLevel="0" collapsed="false"/>
    <row r="3040" customFormat="false" ht="15" hidden="false" customHeight="false" outlineLevel="0" collapsed="false"/>
    <row r="3041" customFormat="false" ht="15" hidden="false" customHeight="false" outlineLevel="0" collapsed="false"/>
    <row r="3042" customFormat="false" ht="15" hidden="false" customHeight="false" outlineLevel="0" collapsed="false"/>
    <row r="3043" customFormat="false" ht="15" hidden="false" customHeight="false" outlineLevel="0" collapsed="false"/>
    <row r="3044" customFormat="false" ht="15" hidden="false" customHeight="false" outlineLevel="0" collapsed="false"/>
    <row r="3045" customFormat="false" ht="15" hidden="false" customHeight="false" outlineLevel="0" collapsed="false"/>
    <row r="3046" customFormat="false" ht="15" hidden="false" customHeight="false" outlineLevel="0" collapsed="false"/>
    <row r="3047" customFormat="false" ht="15" hidden="false" customHeight="false" outlineLevel="0" collapsed="false"/>
    <row r="3048" customFormat="false" ht="15" hidden="false" customHeight="false" outlineLevel="0" collapsed="false"/>
    <row r="3049" customFormat="false" ht="15" hidden="false" customHeight="false" outlineLevel="0" collapsed="false"/>
    <row r="3050" customFormat="false" ht="15" hidden="false" customHeight="false" outlineLevel="0" collapsed="false"/>
    <row r="3051" customFormat="false" ht="15" hidden="false" customHeight="false" outlineLevel="0" collapsed="false"/>
    <row r="3052" customFormat="false" ht="15" hidden="false" customHeight="false" outlineLevel="0" collapsed="false"/>
    <row r="3053" customFormat="false" ht="15" hidden="false" customHeight="false" outlineLevel="0" collapsed="false"/>
    <row r="3054" customFormat="false" ht="15" hidden="false" customHeight="false" outlineLevel="0" collapsed="false"/>
    <row r="3055" customFormat="false" ht="15" hidden="false" customHeight="false" outlineLevel="0" collapsed="false"/>
    <row r="3056" customFormat="false" ht="15" hidden="false" customHeight="false" outlineLevel="0" collapsed="false"/>
    <row r="3057" customFormat="false" ht="15" hidden="false" customHeight="false" outlineLevel="0" collapsed="false"/>
    <row r="3058" customFormat="false" ht="15" hidden="false" customHeight="false" outlineLevel="0" collapsed="false"/>
    <row r="3059" customFormat="false" ht="15" hidden="false" customHeight="false" outlineLevel="0" collapsed="false"/>
    <row r="3060" customFormat="false" ht="15" hidden="false" customHeight="false" outlineLevel="0" collapsed="false"/>
    <row r="3061" customFormat="false" ht="15" hidden="false" customHeight="false" outlineLevel="0" collapsed="false"/>
    <row r="3062" customFormat="false" ht="15" hidden="false" customHeight="false" outlineLevel="0" collapsed="false"/>
    <row r="3063" customFormat="false" ht="15" hidden="false" customHeight="false" outlineLevel="0" collapsed="false"/>
    <row r="3064" customFormat="false" ht="15" hidden="false" customHeight="false" outlineLevel="0" collapsed="false"/>
    <row r="3065" customFormat="false" ht="15" hidden="false" customHeight="false" outlineLevel="0" collapsed="false"/>
    <row r="3066" customFormat="false" ht="15" hidden="false" customHeight="false" outlineLevel="0" collapsed="false"/>
    <row r="3067" customFormat="false" ht="15" hidden="false" customHeight="false" outlineLevel="0" collapsed="false"/>
    <row r="3068" customFormat="false" ht="15" hidden="false" customHeight="false" outlineLevel="0" collapsed="false"/>
    <row r="3069" customFormat="false" ht="15" hidden="false" customHeight="false" outlineLevel="0" collapsed="false"/>
    <row r="3070" customFormat="false" ht="15" hidden="false" customHeight="false" outlineLevel="0" collapsed="false"/>
    <row r="3071" customFormat="false" ht="15" hidden="false" customHeight="false" outlineLevel="0" collapsed="false"/>
    <row r="3072" customFormat="false" ht="15" hidden="false" customHeight="false" outlineLevel="0" collapsed="false"/>
    <row r="3073" customFormat="false" ht="15" hidden="false" customHeight="false" outlineLevel="0" collapsed="false"/>
    <row r="3074" customFormat="false" ht="15" hidden="false" customHeight="false" outlineLevel="0" collapsed="false"/>
    <row r="3075" customFormat="false" ht="15" hidden="false" customHeight="false" outlineLevel="0" collapsed="false"/>
    <row r="3076" customFormat="false" ht="15" hidden="false" customHeight="false" outlineLevel="0" collapsed="false"/>
    <row r="3077" customFormat="false" ht="15" hidden="false" customHeight="false" outlineLevel="0" collapsed="false"/>
    <row r="3078" customFormat="false" ht="15" hidden="false" customHeight="false" outlineLevel="0" collapsed="false"/>
    <row r="3079" customFormat="false" ht="15" hidden="false" customHeight="false" outlineLevel="0" collapsed="false"/>
    <row r="3080" customFormat="false" ht="15" hidden="false" customHeight="false" outlineLevel="0" collapsed="false"/>
    <row r="3081" customFormat="false" ht="15" hidden="false" customHeight="false" outlineLevel="0" collapsed="false"/>
    <row r="3082" customFormat="false" ht="15" hidden="false" customHeight="false" outlineLevel="0" collapsed="false"/>
    <row r="3083" customFormat="false" ht="15" hidden="false" customHeight="false" outlineLevel="0" collapsed="false"/>
    <row r="3084" customFormat="false" ht="15" hidden="false" customHeight="false" outlineLevel="0" collapsed="false"/>
    <row r="3085" customFormat="false" ht="15" hidden="false" customHeight="false" outlineLevel="0" collapsed="false"/>
    <row r="3086" customFormat="false" ht="15" hidden="false" customHeight="false" outlineLevel="0" collapsed="false"/>
    <row r="3087" customFormat="false" ht="15" hidden="false" customHeight="false" outlineLevel="0" collapsed="false"/>
    <row r="3088" customFormat="false" ht="15" hidden="false" customHeight="false" outlineLevel="0" collapsed="false"/>
    <row r="3089" customFormat="false" ht="15" hidden="false" customHeight="false" outlineLevel="0" collapsed="false"/>
    <row r="3090" customFormat="false" ht="15" hidden="false" customHeight="false" outlineLevel="0" collapsed="false"/>
    <row r="3091" customFormat="false" ht="15" hidden="false" customHeight="false" outlineLevel="0" collapsed="false"/>
    <row r="3092" customFormat="false" ht="15" hidden="false" customHeight="false" outlineLevel="0" collapsed="false"/>
    <row r="3093" customFormat="false" ht="15" hidden="false" customHeight="false" outlineLevel="0" collapsed="false"/>
    <row r="3094" customFormat="false" ht="15" hidden="false" customHeight="false" outlineLevel="0" collapsed="false"/>
    <row r="3095" customFormat="false" ht="15" hidden="false" customHeight="false" outlineLevel="0" collapsed="false"/>
    <row r="3096" customFormat="false" ht="15" hidden="false" customHeight="false" outlineLevel="0" collapsed="false"/>
    <row r="3097" customFormat="false" ht="15" hidden="false" customHeight="false" outlineLevel="0" collapsed="false"/>
    <row r="3098" customFormat="false" ht="15" hidden="false" customHeight="false" outlineLevel="0" collapsed="false"/>
    <row r="3099" customFormat="false" ht="15" hidden="false" customHeight="false" outlineLevel="0" collapsed="false"/>
    <row r="3100" customFormat="false" ht="15" hidden="false" customHeight="false" outlineLevel="0" collapsed="false"/>
    <row r="3101" customFormat="false" ht="15" hidden="false" customHeight="false" outlineLevel="0" collapsed="false"/>
    <row r="3102" customFormat="false" ht="15" hidden="false" customHeight="false" outlineLevel="0" collapsed="false"/>
    <row r="3103" customFormat="false" ht="15" hidden="false" customHeight="false" outlineLevel="0" collapsed="false"/>
    <row r="3104" customFormat="false" ht="15" hidden="false" customHeight="false" outlineLevel="0" collapsed="false"/>
    <row r="3105" customFormat="false" ht="15" hidden="false" customHeight="false" outlineLevel="0" collapsed="false"/>
    <row r="3106" customFormat="false" ht="15" hidden="false" customHeight="false" outlineLevel="0" collapsed="false"/>
    <row r="3107" customFormat="false" ht="15" hidden="false" customHeight="false" outlineLevel="0" collapsed="false"/>
    <row r="3108" customFormat="false" ht="15" hidden="false" customHeight="false" outlineLevel="0" collapsed="false"/>
    <row r="3109" customFormat="false" ht="15" hidden="false" customHeight="false" outlineLevel="0" collapsed="false"/>
    <row r="3110" customFormat="false" ht="15" hidden="false" customHeight="false" outlineLevel="0" collapsed="false"/>
    <row r="3111" customFormat="false" ht="15" hidden="false" customHeight="false" outlineLevel="0" collapsed="false"/>
    <row r="3112" customFormat="false" ht="15" hidden="false" customHeight="false" outlineLevel="0" collapsed="false"/>
    <row r="3113" customFormat="false" ht="15" hidden="false" customHeight="false" outlineLevel="0" collapsed="false"/>
    <row r="3114" customFormat="false" ht="15" hidden="false" customHeight="false" outlineLevel="0" collapsed="false"/>
    <row r="3115" customFormat="false" ht="15" hidden="false" customHeight="false" outlineLevel="0" collapsed="false"/>
    <row r="3116" customFormat="false" ht="15" hidden="false" customHeight="false" outlineLevel="0" collapsed="false"/>
    <row r="3117" customFormat="false" ht="15" hidden="false" customHeight="false" outlineLevel="0" collapsed="false"/>
    <row r="3118" customFormat="false" ht="15" hidden="false" customHeight="false" outlineLevel="0" collapsed="false"/>
    <row r="3119" customFormat="false" ht="15" hidden="false" customHeight="false" outlineLevel="0" collapsed="false"/>
    <row r="3120" customFormat="false" ht="15" hidden="false" customHeight="false" outlineLevel="0" collapsed="false"/>
    <row r="3121" customFormat="false" ht="15" hidden="false" customHeight="false" outlineLevel="0" collapsed="false"/>
    <row r="3122" customFormat="false" ht="15" hidden="false" customHeight="false" outlineLevel="0" collapsed="false"/>
    <row r="3123" customFormat="false" ht="15" hidden="false" customHeight="false" outlineLevel="0" collapsed="false"/>
    <row r="3124" customFormat="false" ht="15" hidden="false" customHeight="false" outlineLevel="0" collapsed="false"/>
    <row r="3125" customFormat="false" ht="15" hidden="false" customHeight="false" outlineLevel="0" collapsed="false"/>
    <row r="3126" customFormat="false" ht="15" hidden="false" customHeight="false" outlineLevel="0" collapsed="false"/>
    <row r="3127" customFormat="false" ht="15" hidden="false" customHeight="false" outlineLevel="0" collapsed="false"/>
    <row r="3128" customFormat="false" ht="15" hidden="false" customHeight="false" outlineLevel="0" collapsed="false"/>
    <row r="3129" customFormat="false" ht="15" hidden="false" customHeight="false" outlineLevel="0" collapsed="false"/>
    <row r="3130" customFormat="false" ht="15" hidden="false" customHeight="false" outlineLevel="0" collapsed="false"/>
    <row r="3131" customFormat="false" ht="15" hidden="false" customHeight="false" outlineLevel="0" collapsed="false"/>
    <row r="3132" customFormat="false" ht="15" hidden="false" customHeight="false" outlineLevel="0" collapsed="false"/>
    <row r="3133" customFormat="false" ht="15" hidden="false" customHeight="false" outlineLevel="0" collapsed="false"/>
    <row r="3134" customFormat="false" ht="15" hidden="false" customHeight="false" outlineLevel="0" collapsed="false"/>
    <row r="3135" customFormat="false" ht="15" hidden="false" customHeight="false" outlineLevel="0" collapsed="false"/>
    <row r="3136" customFormat="false" ht="15" hidden="false" customHeight="false" outlineLevel="0" collapsed="false"/>
    <row r="3137" customFormat="false" ht="15" hidden="false" customHeight="false" outlineLevel="0" collapsed="false"/>
    <row r="3138" customFormat="false" ht="15" hidden="false" customHeight="false" outlineLevel="0" collapsed="false"/>
    <row r="3139" customFormat="false" ht="15" hidden="false" customHeight="false" outlineLevel="0" collapsed="false"/>
    <row r="3140" customFormat="false" ht="15" hidden="false" customHeight="false" outlineLevel="0" collapsed="false"/>
    <row r="3141" customFormat="false" ht="15" hidden="false" customHeight="false" outlineLevel="0" collapsed="false"/>
    <row r="3142" customFormat="false" ht="15" hidden="false" customHeight="false" outlineLevel="0" collapsed="false"/>
    <row r="3143" customFormat="false" ht="15" hidden="false" customHeight="false" outlineLevel="0" collapsed="false"/>
    <row r="3144" customFormat="false" ht="15" hidden="false" customHeight="false" outlineLevel="0" collapsed="false"/>
    <row r="3145" customFormat="false" ht="15" hidden="false" customHeight="false" outlineLevel="0" collapsed="false"/>
    <row r="3146" customFormat="false" ht="15" hidden="false" customHeight="false" outlineLevel="0" collapsed="false"/>
    <row r="3147" customFormat="false" ht="15" hidden="false" customHeight="false" outlineLevel="0" collapsed="false"/>
    <row r="3148" customFormat="false" ht="15" hidden="false" customHeight="false" outlineLevel="0" collapsed="false"/>
    <row r="3149" customFormat="false" ht="15" hidden="false" customHeight="false" outlineLevel="0" collapsed="false"/>
    <row r="3150" customFormat="false" ht="15" hidden="false" customHeight="false" outlineLevel="0" collapsed="false"/>
    <row r="3151" customFormat="false" ht="15" hidden="false" customHeight="false" outlineLevel="0" collapsed="false"/>
    <row r="3152" customFormat="false" ht="15" hidden="false" customHeight="false" outlineLevel="0" collapsed="false"/>
    <row r="3153" customFormat="false" ht="15" hidden="false" customHeight="false" outlineLevel="0" collapsed="false"/>
    <row r="3154" customFormat="false" ht="15" hidden="false" customHeight="false" outlineLevel="0" collapsed="false"/>
    <row r="3155" customFormat="false" ht="15" hidden="false" customHeight="false" outlineLevel="0" collapsed="false"/>
    <row r="3156" customFormat="false" ht="15" hidden="false" customHeight="false" outlineLevel="0" collapsed="false"/>
    <row r="3157" customFormat="false" ht="15" hidden="false" customHeight="false" outlineLevel="0" collapsed="false"/>
    <row r="3158" customFormat="false" ht="15" hidden="false" customHeight="false" outlineLevel="0" collapsed="false"/>
    <row r="3159" customFormat="false" ht="15" hidden="false" customHeight="false" outlineLevel="0" collapsed="false"/>
    <row r="3160" customFormat="false" ht="15" hidden="false" customHeight="false" outlineLevel="0" collapsed="false"/>
    <row r="3161" customFormat="false" ht="15" hidden="false" customHeight="false" outlineLevel="0" collapsed="false"/>
    <row r="3162" customFormat="false" ht="15" hidden="false" customHeight="false" outlineLevel="0" collapsed="false"/>
    <row r="3163" customFormat="false" ht="15" hidden="false" customHeight="false" outlineLevel="0" collapsed="false"/>
    <row r="3164" customFormat="false" ht="15" hidden="false" customHeight="false" outlineLevel="0" collapsed="false"/>
    <row r="3165" customFormat="false" ht="15" hidden="false" customHeight="false" outlineLevel="0" collapsed="false"/>
    <row r="3166" customFormat="false" ht="15" hidden="false" customHeight="false" outlineLevel="0" collapsed="false"/>
    <row r="3167" customFormat="false" ht="15" hidden="false" customHeight="false" outlineLevel="0" collapsed="false"/>
    <row r="3168" customFormat="false" ht="15" hidden="false" customHeight="false" outlineLevel="0" collapsed="false"/>
    <row r="3169" customFormat="false" ht="15" hidden="false" customHeight="false" outlineLevel="0" collapsed="false"/>
    <row r="3170" customFormat="false" ht="15" hidden="false" customHeight="false" outlineLevel="0" collapsed="false"/>
    <row r="3171" customFormat="false" ht="15" hidden="false" customHeight="false" outlineLevel="0" collapsed="false"/>
    <row r="3172" customFormat="false" ht="15" hidden="false" customHeight="false" outlineLevel="0" collapsed="false"/>
    <row r="3173" customFormat="false" ht="15" hidden="false" customHeight="false" outlineLevel="0" collapsed="false"/>
    <row r="3174" customFormat="false" ht="15" hidden="false" customHeight="false" outlineLevel="0" collapsed="false"/>
    <row r="3175" customFormat="false" ht="15" hidden="false" customHeight="false" outlineLevel="0" collapsed="false"/>
    <row r="3176" customFormat="false" ht="15" hidden="false" customHeight="false" outlineLevel="0" collapsed="false"/>
    <row r="3177" customFormat="false" ht="15" hidden="false" customHeight="false" outlineLevel="0" collapsed="false"/>
    <row r="3178" customFormat="false" ht="15" hidden="false" customHeight="false" outlineLevel="0" collapsed="false"/>
    <row r="3179" customFormat="false" ht="15" hidden="false" customHeight="false" outlineLevel="0" collapsed="false"/>
    <row r="3180" customFormat="false" ht="15" hidden="false" customHeight="false" outlineLevel="0" collapsed="false"/>
    <row r="3181" customFormat="false" ht="15" hidden="false" customHeight="false" outlineLevel="0" collapsed="false"/>
    <row r="3182" customFormat="false" ht="15" hidden="false" customHeight="false" outlineLevel="0" collapsed="false"/>
    <row r="3183" customFormat="false" ht="15" hidden="false" customHeight="false" outlineLevel="0" collapsed="false"/>
    <row r="3184" customFormat="false" ht="15" hidden="false" customHeight="false" outlineLevel="0" collapsed="false"/>
    <row r="3185" customFormat="false" ht="15" hidden="false" customHeight="false" outlineLevel="0" collapsed="false"/>
    <row r="3186" customFormat="false" ht="15" hidden="false" customHeight="false" outlineLevel="0" collapsed="false"/>
    <row r="3187" customFormat="false" ht="15" hidden="false" customHeight="false" outlineLevel="0" collapsed="false"/>
    <row r="3188" customFormat="false" ht="15" hidden="false" customHeight="false" outlineLevel="0" collapsed="false"/>
    <row r="3189" customFormat="false" ht="15" hidden="false" customHeight="false" outlineLevel="0" collapsed="false"/>
    <row r="3190" customFormat="false" ht="15" hidden="false" customHeight="false" outlineLevel="0" collapsed="false"/>
    <row r="3191" customFormat="false" ht="15" hidden="false" customHeight="false" outlineLevel="0" collapsed="false"/>
    <row r="3192" customFormat="false" ht="15" hidden="false" customHeight="false" outlineLevel="0" collapsed="false"/>
    <row r="3193" customFormat="false" ht="15" hidden="false" customHeight="false" outlineLevel="0" collapsed="false"/>
    <row r="3194" customFormat="false" ht="15" hidden="false" customHeight="false" outlineLevel="0" collapsed="false"/>
    <row r="3195" customFormat="false" ht="15" hidden="false" customHeight="false" outlineLevel="0" collapsed="false"/>
    <row r="3196" customFormat="false" ht="15" hidden="false" customHeight="false" outlineLevel="0" collapsed="false"/>
    <row r="3197" customFormat="false" ht="15" hidden="false" customHeight="false" outlineLevel="0" collapsed="false"/>
    <row r="3198" customFormat="false" ht="15" hidden="false" customHeight="false" outlineLevel="0" collapsed="false"/>
    <row r="3199" customFormat="false" ht="15" hidden="false" customHeight="false" outlineLevel="0" collapsed="false"/>
    <row r="3200" customFormat="false" ht="15" hidden="false" customHeight="false" outlineLevel="0" collapsed="false"/>
    <row r="3201" customFormat="false" ht="15" hidden="false" customHeight="false" outlineLevel="0" collapsed="false"/>
    <row r="3202" customFormat="false" ht="15" hidden="false" customHeight="false" outlineLevel="0" collapsed="false"/>
    <row r="3203" customFormat="false" ht="15" hidden="false" customHeight="false" outlineLevel="0" collapsed="false"/>
    <row r="3204" customFormat="false" ht="15" hidden="false" customHeight="false" outlineLevel="0" collapsed="false"/>
    <row r="3205" customFormat="false" ht="15" hidden="false" customHeight="false" outlineLevel="0" collapsed="false"/>
    <row r="3206" customFormat="false" ht="15" hidden="false" customHeight="false" outlineLevel="0" collapsed="false"/>
    <row r="3207" customFormat="false" ht="15" hidden="false" customHeight="false" outlineLevel="0" collapsed="false"/>
    <row r="3208" customFormat="false" ht="15" hidden="false" customHeight="false" outlineLevel="0" collapsed="false"/>
    <row r="3209" customFormat="false" ht="15" hidden="false" customHeight="false" outlineLevel="0" collapsed="false"/>
    <row r="3210" customFormat="false" ht="15" hidden="false" customHeight="false" outlineLevel="0" collapsed="false"/>
    <row r="3211" customFormat="false" ht="15" hidden="false" customHeight="false" outlineLevel="0" collapsed="false"/>
    <row r="3212" customFormat="false" ht="15" hidden="false" customHeight="false" outlineLevel="0" collapsed="false"/>
    <row r="3213" customFormat="false" ht="15" hidden="false" customHeight="false" outlineLevel="0" collapsed="false"/>
    <row r="3214" customFormat="false" ht="15" hidden="false" customHeight="false" outlineLevel="0" collapsed="false"/>
    <row r="3215" customFormat="false" ht="15" hidden="false" customHeight="false" outlineLevel="0" collapsed="false"/>
    <row r="3216" customFormat="false" ht="15" hidden="false" customHeight="false" outlineLevel="0" collapsed="false"/>
    <row r="3217" customFormat="false" ht="15" hidden="false" customHeight="false" outlineLevel="0" collapsed="false"/>
    <row r="3218" customFormat="false" ht="15" hidden="false" customHeight="false" outlineLevel="0" collapsed="false"/>
    <row r="3219" customFormat="false" ht="15" hidden="false" customHeight="false" outlineLevel="0" collapsed="false"/>
    <row r="3220" customFormat="false" ht="15" hidden="false" customHeight="false" outlineLevel="0" collapsed="false"/>
    <row r="3221" customFormat="false" ht="15" hidden="false" customHeight="false" outlineLevel="0" collapsed="false"/>
    <row r="3222" customFormat="false" ht="15" hidden="false" customHeight="false" outlineLevel="0" collapsed="false"/>
    <row r="3223" customFormat="false" ht="15" hidden="false" customHeight="false" outlineLevel="0" collapsed="false"/>
    <row r="3224" customFormat="false" ht="15" hidden="false" customHeight="false" outlineLevel="0" collapsed="false"/>
    <row r="3225" customFormat="false" ht="15" hidden="false" customHeight="false" outlineLevel="0" collapsed="false"/>
    <row r="3226" customFormat="false" ht="15" hidden="false" customHeight="false" outlineLevel="0" collapsed="false"/>
    <row r="3227" customFormat="false" ht="15" hidden="false" customHeight="false" outlineLevel="0" collapsed="false"/>
    <row r="3228" customFormat="false" ht="15" hidden="false" customHeight="false" outlineLevel="0" collapsed="false"/>
    <row r="3229" customFormat="false" ht="15" hidden="false" customHeight="false" outlineLevel="0" collapsed="false"/>
    <row r="3230" customFormat="false" ht="15" hidden="false" customHeight="false" outlineLevel="0" collapsed="false"/>
    <row r="3231" customFormat="false" ht="15" hidden="false" customHeight="false" outlineLevel="0" collapsed="false"/>
    <row r="3232" customFormat="false" ht="15" hidden="false" customHeight="false" outlineLevel="0" collapsed="false"/>
    <row r="3233" customFormat="false" ht="15" hidden="false" customHeight="false" outlineLevel="0" collapsed="false"/>
    <row r="3234" customFormat="false" ht="15" hidden="false" customHeight="false" outlineLevel="0" collapsed="false"/>
    <row r="3235" customFormat="false" ht="15" hidden="false" customHeight="false" outlineLevel="0" collapsed="false"/>
    <row r="3236" customFormat="false" ht="15" hidden="false" customHeight="false" outlineLevel="0" collapsed="false"/>
    <row r="3237" customFormat="false" ht="15" hidden="false" customHeight="false" outlineLevel="0" collapsed="false"/>
    <row r="3238" customFormat="false" ht="15" hidden="false" customHeight="false" outlineLevel="0" collapsed="false"/>
    <row r="3239" customFormat="false" ht="15" hidden="false" customHeight="false" outlineLevel="0" collapsed="false"/>
    <row r="3240" customFormat="false" ht="15" hidden="false" customHeight="false" outlineLevel="0" collapsed="false"/>
    <row r="3241" customFormat="false" ht="15" hidden="false" customHeight="false" outlineLevel="0" collapsed="false"/>
    <row r="3242" customFormat="false" ht="15" hidden="false" customHeight="false" outlineLevel="0" collapsed="false"/>
    <row r="3243" customFormat="false" ht="15" hidden="false" customHeight="false" outlineLevel="0" collapsed="false"/>
    <row r="3244" customFormat="false" ht="15" hidden="false" customHeight="false" outlineLevel="0" collapsed="false"/>
    <row r="3245" customFormat="false" ht="15" hidden="false" customHeight="false" outlineLevel="0" collapsed="false"/>
    <row r="3246" customFormat="false" ht="15" hidden="false" customHeight="false" outlineLevel="0" collapsed="false"/>
    <row r="3247" customFormat="false" ht="15" hidden="false" customHeight="false" outlineLevel="0" collapsed="false"/>
    <row r="3248" customFormat="false" ht="15" hidden="false" customHeight="false" outlineLevel="0" collapsed="false"/>
    <row r="3249" customFormat="false" ht="15" hidden="false" customHeight="false" outlineLevel="0" collapsed="false"/>
    <row r="3250" customFormat="false" ht="15" hidden="false" customHeight="false" outlineLevel="0" collapsed="false"/>
    <row r="3251" customFormat="false" ht="15" hidden="false" customHeight="false" outlineLevel="0" collapsed="false"/>
    <row r="3252" customFormat="false" ht="15" hidden="false" customHeight="false" outlineLevel="0" collapsed="false"/>
    <row r="3253" customFormat="false" ht="15" hidden="false" customHeight="false" outlineLevel="0" collapsed="false"/>
    <row r="3254" customFormat="false" ht="15" hidden="false" customHeight="false" outlineLevel="0" collapsed="false"/>
    <row r="3255" customFormat="false" ht="15" hidden="false" customHeight="false" outlineLevel="0" collapsed="false"/>
    <row r="3256" customFormat="false" ht="15" hidden="false" customHeight="false" outlineLevel="0" collapsed="false"/>
    <row r="3257" customFormat="false" ht="15" hidden="false" customHeight="false" outlineLevel="0" collapsed="false"/>
    <row r="3258" customFormat="false" ht="15" hidden="false" customHeight="false" outlineLevel="0" collapsed="false"/>
    <row r="3259" customFormat="false" ht="15" hidden="false" customHeight="false" outlineLevel="0" collapsed="false"/>
    <row r="3260" customFormat="false" ht="15" hidden="false" customHeight="false" outlineLevel="0" collapsed="false"/>
    <row r="3261" customFormat="false" ht="15" hidden="false" customHeight="false" outlineLevel="0" collapsed="false"/>
    <row r="3262" customFormat="false" ht="15" hidden="false" customHeight="false" outlineLevel="0" collapsed="false"/>
    <row r="3263" customFormat="false" ht="15" hidden="false" customHeight="false" outlineLevel="0" collapsed="false"/>
    <row r="3264" customFormat="false" ht="15" hidden="false" customHeight="false" outlineLevel="0" collapsed="false"/>
    <row r="3265" customFormat="false" ht="15" hidden="false" customHeight="false" outlineLevel="0" collapsed="false"/>
    <row r="3266" customFormat="false" ht="15" hidden="false" customHeight="false" outlineLevel="0" collapsed="false"/>
    <row r="3267" customFormat="false" ht="15" hidden="false" customHeight="false" outlineLevel="0" collapsed="false"/>
    <row r="3268" customFormat="false" ht="15" hidden="false" customHeight="false" outlineLevel="0" collapsed="false"/>
    <row r="3269" customFormat="false" ht="15" hidden="false" customHeight="false" outlineLevel="0" collapsed="false"/>
    <row r="3270" customFormat="false" ht="15" hidden="false" customHeight="false" outlineLevel="0" collapsed="false"/>
    <row r="3271" customFormat="false" ht="15" hidden="false" customHeight="false" outlineLevel="0" collapsed="false"/>
    <row r="3272" customFormat="false" ht="15" hidden="false" customHeight="false" outlineLevel="0" collapsed="false"/>
    <row r="3273" customFormat="false" ht="15" hidden="false" customHeight="false" outlineLevel="0" collapsed="false"/>
    <row r="3274" customFormat="false" ht="15" hidden="false" customHeight="false" outlineLevel="0" collapsed="false"/>
    <row r="3275" customFormat="false" ht="15" hidden="false" customHeight="false" outlineLevel="0" collapsed="false"/>
    <row r="3276" customFormat="false" ht="15" hidden="false" customHeight="false" outlineLevel="0" collapsed="false"/>
    <row r="3277" customFormat="false" ht="15" hidden="false" customHeight="false" outlineLevel="0" collapsed="false"/>
    <row r="3278" customFormat="false" ht="15" hidden="false" customHeight="false" outlineLevel="0" collapsed="false"/>
    <row r="3279" customFormat="false" ht="15" hidden="false" customHeight="false" outlineLevel="0" collapsed="false"/>
    <row r="3280" customFormat="false" ht="15" hidden="false" customHeight="false" outlineLevel="0" collapsed="false"/>
    <row r="3281" customFormat="false" ht="15" hidden="false" customHeight="false" outlineLevel="0" collapsed="false"/>
    <row r="3282" customFormat="false" ht="15" hidden="false" customHeight="false" outlineLevel="0" collapsed="false"/>
    <row r="3283" customFormat="false" ht="15" hidden="false" customHeight="false" outlineLevel="0" collapsed="false"/>
    <row r="3284" customFormat="false" ht="15" hidden="false" customHeight="false" outlineLevel="0" collapsed="false"/>
    <row r="3285" customFormat="false" ht="15" hidden="false" customHeight="false" outlineLevel="0" collapsed="false"/>
    <row r="3286" customFormat="false" ht="15" hidden="false" customHeight="false" outlineLevel="0" collapsed="false"/>
    <row r="3287" customFormat="false" ht="15" hidden="false" customHeight="false" outlineLevel="0" collapsed="false"/>
    <row r="3288" customFormat="false" ht="15" hidden="false" customHeight="false" outlineLevel="0" collapsed="false"/>
    <row r="3289" customFormat="false" ht="15" hidden="false" customHeight="false" outlineLevel="0" collapsed="false"/>
    <row r="3290" customFormat="false" ht="15" hidden="false" customHeight="false" outlineLevel="0" collapsed="false"/>
    <row r="3291" customFormat="false" ht="15" hidden="false" customHeight="false" outlineLevel="0" collapsed="false"/>
    <row r="3292" customFormat="false" ht="15" hidden="false" customHeight="false" outlineLevel="0" collapsed="false"/>
    <row r="3293" customFormat="false" ht="15" hidden="false" customHeight="false" outlineLevel="0" collapsed="false"/>
    <row r="3294" customFormat="false" ht="15" hidden="false" customHeight="false" outlineLevel="0" collapsed="false"/>
    <row r="3295" customFormat="false" ht="15" hidden="false" customHeight="false" outlineLevel="0" collapsed="false"/>
    <row r="3296" customFormat="false" ht="15" hidden="false" customHeight="false" outlineLevel="0" collapsed="false"/>
    <row r="3297" customFormat="false" ht="15" hidden="false" customHeight="false" outlineLevel="0" collapsed="false"/>
    <row r="3298" customFormat="false" ht="15" hidden="false" customHeight="false" outlineLevel="0" collapsed="false"/>
    <row r="3299" customFormat="false" ht="15" hidden="false" customHeight="false" outlineLevel="0" collapsed="false"/>
    <row r="3300" customFormat="false" ht="15" hidden="false" customHeight="false" outlineLevel="0" collapsed="false"/>
    <row r="3301" customFormat="false" ht="15" hidden="false" customHeight="false" outlineLevel="0" collapsed="false"/>
    <row r="3302" customFormat="false" ht="15" hidden="false" customHeight="false" outlineLevel="0" collapsed="false"/>
    <row r="3303" customFormat="false" ht="15" hidden="false" customHeight="false" outlineLevel="0" collapsed="false"/>
    <row r="3304" customFormat="false" ht="15" hidden="false" customHeight="false" outlineLevel="0" collapsed="false"/>
    <row r="3305" customFormat="false" ht="15" hidden="false" customHeight="false" outlineLevel="0" collapsed="false"/>
    <row r="3306" customFormat="false" ht="15" hidden="false" customHeight="false" outlineLevel="0" collapsed="false"/>
    <row r="3307" customFormat="false" ht="15" hidden="false" customHeight="false" outlineLevel="0" collapsed="false"/>
    <row r="3308" customFormat="false" ht="15" hidden="false" customHeight="false" outlineLevel="0" collapsed="false"/>
    <row r="3309" customFormat="false" ht="15" hidden="false" customHeight="false" outlineLevel="0" collapsed="false"/>
    <row r="3310" customFormat="false" ht="15" hidden="false" customHeight="false" outlineLevel="0" collapsed="false"/>
    <row r="3311" customFormat="false" ht="15" hidden="false" customHeight="false" outlineLevel="0" collapsed="false"/>
    <row r="3312" customFormat="false" ht="15" hidden="false" customHeight="false" outlineLevel="0" collapsed="false"/>
    <row r="3313" customFormat="false" ht="15" hidden="false" customHeight="false" outlineLevel="0" collapsed="false"/>
    <row r="3314" customFormat="false" ht="15" hidden="false" customHeight="false" outlineLevel="0" collapsed="false"/>
    <row r="3315" customFormat="false" ht="15" hidden="false" customHeight="false" outlineLevel="0" collapsed="false"/>
    <row r="3316" customFormat="false" ht="15" hidden="false" customHeight="false" outlineLevel="0" collapsed="false"/>
    <row r="3317" customFormat="false" ht="15" hidden="false" customHeight="false" outlineLevel="0" collapsed="false"/>
    <row r="3318" customFormat="false" ht="15" hidden="false" customHeight="false" outlineLevel="0" collapsed="false"/>
    <row r="3319" customFormat="false" ht="15" hidden="false" customHeight="false" outlineLevel="0" collapsed="false"/>
    <row r="3320" customFormat="false" ht="15" hidden="false" customHeight="false" outlineLevel="0" collapsed="false"/>
    <row r="3321" customFormat="false" ht="15" hidden="false" customHeight="false" outlineLevel="0" collapsed="false"/>
    <row r="3322" customFormat="false" ht="15" hidden="false" customHeight="false" outlineLevel="0" collapsed="false"/>
    <row r="3323" customFormat="false" ht="15" hidden="false" customHeight="false" outlineLevel="0" collapsed="false"/>
    <row r="3324" customFormat="false" ht="15" hidden="false" customHeight="false" outlineLevel="0" collapsed="false"/>
    <row r="3325" customFormat="false" ht="15" hidden="false" customHeight="false" outlineLevel="0" collapsed="false"/>
    <row r="3326" customFormat="false" ht="15" hidden="false" customHeight="false" outlineLevel="0" collapsed="false"/>
    <row r="3327" customFormat="false" ht="15" hidden="false" customHeight="false" outlineLevel="0" collapsed="false"/>
    <row r="3328" customFormat="false" ht="15" hidden="false" customHeight="false" outlineLevel="0" collapsed="false"/>
    <row r="3329" customFormat="false" ht="15" hidden="false" customHeight="false" outlineLevel="0" collapsed="false"/>
    <row r="3330" customFormat="false" ht="15" hidden="false" customHeight="false" outlineLevel="0" collapsed="false"/>
    <row r="3331" customFormat="false" ht="15" hidden="false" customHeight="false" outlineLevel="0" collapsed="false"/>
    <row r="3332" customFormat="false" ht="15" hidden="false" customHeight="false" outlineLevel="0" collapsed="false"/>
    <row r="3333" customFormat="false" ht="15" hidden="false" customHeight="false" outlineLevel="0" collapsed="false"/>
    <row r="3334" customFormat="false" ht="15" hidden="false" customHeight="false" outlineLevel="0" collapsed="false"/>
    <row r="3335" customFormat="false" ht="15" hidden="false" customHeight="false" outlineLevel="0" collapsed="false"/>
    <row r="3336" customFormat="false" ht="15" hidden="false" customHeight="false" outlineLevel="0" collapsed="false"/>
    <row r="3337" customFormat="false" ht="15" hidden="false" customHeight="false" outlineLevel="0" collapsed="false"/>
    <row r="3338" customFormat="false" ht="15" hidden="false" customHeight="false" outlineLevel="0" collapsed="false"/>
    <row r="3339" customFormat="false" ht="15" hidden="false" customHeight="false" outlineLevel="0" collapsed="false"/>
    <row r="3340" customFormat="false" ht="15" hidden="false" customHeight="false" outlineLevel="0" collapsed="false"/>
    <row r="3341" customFormat="false" ht="15" hidden="false" customHeight="false" outlineLevel="0" collapsed="false"/>
    <row r="3342" customFormat="false" ht="15" hidden="false" customHeight="false" outlineLevel="0" collapsed="false"/>
    <row r="3343" customFormat="false" ht="15" hidden="false" customHeight="false" outlineLevel="0" collapsed="false"/>
    <row r="3344" customFormat="false" ht="15" hidden="false" customHeight="false" outlineLevel="0" collapsed="false"/>
    <row r="3345" customFormat="false" ht="15" hidden="false" customHeight="false" outlineLevel="0" collapsed="false"/>
    <row r="3346" customFormat="false" ht="15" hidden="false" customHeight="false" outlineLevel="0" collapsed="false"/>
    <row r="3347" customFormat="false" ht="15" hidden="false" customHeight="false" outlineLevel="0" collapsed="false"/>
    <row r="3348" customFormat="false" ht="15" hidden="false" customHeight="false" outlineLevel="0" collapsed="false"/>
    <row r="3349" customFormat="false" ht="15" hidden="false" customHeight="false" outlineLevel="0" collapsed="false"/>
    <row r="3350" customFormat="false" ht="15" hidden="false" customHeight="false" outlineLevel="0" collapsed="false"/>
    <row r="3351" customFormat="false" ht="15" hidden="false" customHeight="false" outlineLevel="0" collapsed="false"/>
    <row r="3352" customFormat="false" ht="15" hidden="false" customHeight="false" outlineLevel="0" collapsed="false"/>
    <row r="3353" customFormat="false" ht="15" hidden="false" customHeight="false" outlineLevel="0" collapsed="false"/>
    <row r="3354" customFormat="false" ht="15" hidden="false" customHeight="false" outlineLevel="0" collapsed="false"/>
    <row r="3355" customFormat="false" ht="15" hidden="false" customHeight="false" outlineLevel="0" collapsed="false"/>
    <row r="3356" customFormat="false" ht="15" hidden="false" customHeight="false" outlineLevel="0" collapsed="false"/>
    <row r="3357" customFormat="false" ht="15" hidden="false" customHeight="false" outlineLevel="0" collapsed="false"/>
    <row r="3358" customFormat="false" ht="15" hidden="false" customHeight="false" outlineLevel="0" collapsed="false"/>
    <row r="3359" customFormat="false" ht="15" hidden="false" customHeight="false" outlineLevel="0" collapsed="false"/>
    <row r="3360" customFormat="false" ht="15" hidden="false" customHeight="false" outlineLevel="0" collapsed="false"/>
    <row r="3361" customFormat="false" ht="15" hidden="false" customHeight="false" outlineLevel="0" collapsed="false"/>
    <row r="3362" customFormat="false" ht="15" hidden="false" customHeight="false" outlineLevel="0" collapsed="false"/>
    <row r="3363" customFormat="false" ht="15" hidden="false" customHeight="false" outlineLevel="0" collapsed="false"/>
    <row r="3364" customFormat="false" ht="15" hidden="false" customHeight="false" outlineLevel="0" collapsed="false"/>
    <row r="3365" customFormat="false" ht="15" hidden="false" customHeight="false" outlineLevel="0" collapsed="false"/>
    <row r="3366" customFormat="false" ht="15" hidden="false" customHeight="false" outlineLevel="0" collapsed="false"/>
    <row r="3367" customFormat="false" ht="15" hidden="false" customHeight="false" outlineLevel="0" collapsed="false"/>
    <row r="3368" customFormat="false" ht="15" hidden="false" customHeight="false" outlineLevel="0" collapsed="false"/>
    <row r="3369" customFormat="false" ht="15" hidden="false" customHeight="false" outlineLevel="0" collapsed="false"/>
    <row r="3370" customFormat="false" ht="15" hidden="false" customHeight="false" outlineLevel="0" collapsed="false"/>
    <row r="3371" customFormat="false" ht="15" hidden="false" customHeight="false" outlineLevel="0" collapsed="false"/>
    <row r="3372" customFormat="false" ht="15" hidden="false" customHeight="false" outlineLevel="0" collapsed="false"/>
    <row r="3373" customFormat="false" ht="15" hidden="false" customHeight="false" outlineLevel="0" collapsed="false"/>
    <row r="3374" customFormat="false" ht="15" hidden="false" customHeight="false" outlineLevel="0" collapsed="false"/>
    <row r="3375" customFormat="false" ht="15" hidden="false" customHeight="false" outlineLevel="0" collapsed="false"/>
    <row r="3376" customFormat="false" ht="15" hidden="false" customHeight="false" outlineLevel="0" collapsed="false"/>
    <row r="3377" customFormat="false" ht="15" hidden="false" customHeight="false" outlineLevel="0" collapsed="false"/>
    <row r="3378" customFormat="false" ht="15" hidden="false" customHeight="false" outlineLevel="0" collapsed="false"/>
    <row r="3379" customFormat="false" ht="15" hidden="false" customHeight="false" outlineLevel="0" collapsed="false"/>
    <row r="3380" customFormat="false" ht="15" hidden="false" customHeight="false" outlineLevel="0" collapsed="false"/>
    <row r="3381" customFormat="false" ht="15" hidden="false" customHeight="false" outlineLevel="0" collapsed="false"/>
    <row r="3382" customFormat="false" ht="15" hidden="false" customHeight="false" outlineLevel="0" collapsed="false"/>
    <row r="3383" customFormat="false" ht="15" hidden="false" customHeight="false" outlineLevel="0" collapsed="false"/>
    <row r="3384" customFormat="false" ht="15" hidden="false" customHeight="false" outlineLevel="0" collapsed="false"/>
    <row r="3385" customFormat="false" ht="15" hidden="false" customHeight="false" outlineLevel="0" collapsed="false"/>
    <row r="3386" customFormat="false" ht="15" hidden="false" customHeight="false" outlineLevel="0" collapsed="false"/>
    <row r="3387" customFormat="false" ht="15" hidden="false" customHeight="false" outlineLevel="0" collapsed="false"/>
    <row r="3388" customFormat="false" ht="15" hidden="false" customHeight="false" outlineLevel="0" collapsed="false"/>
    <row r="3389" customFormat="false" ht="15" hidden="false" customHeight="false" outlineLevel="0" collapsed="false"/>
    <row r="3390" customFormat="false" ht="15" hidden="false" customHeight="false" outlineLevel="0" collapsed="false"/>
    <row r="3391" customFormat="false" ht="15" hidden="false" customHeight="false" outlineLevel="0" collapsed="false"/>
    <row r="3392" customFormat="false" ht="15" hidden="false" customHeight="false" outlineLevel="0" collapsed="false"/>
    <row r="3393" customFormat="false" ht="15" hidden="false" customHeight="false" outlineLevel="0" collapsed="false"/>
    <row r="3394" customFormat="false" ht="15" hidden="false" customHeight="false" outlineLevel="0" collapsed="false"/>
    <row r="3395" customFormat="false" ht="15" hidden="false" customHeight="false" outlineLevel="0" collapsed="false"/>
    <row r="3396" customFormat="false" ht="15" hidden="false" customHeight="false" outlineLevel="0" collapsed="false"/>
    <row r="3397" customFormat="false" ht="15" hidden="false" customHeight="false" outlineLevel="0" collapsed="false"/>
    <row r="3398" customFormat="false" ht="15" hidden="false" customHeight="false" outlineLevel="0" collapsed="false"/>
    <row r="3399" customFormat="false" ht="15" hidden="false" customHeight="false" outlineLevel="0" collapsed="false"/>
    <row r="3400" customFormat="false" ht="15" hidden="false" customHeight="false" outlineLevel="0" collapsed="false"/>
    <row r="3401" customFormat="false" ht="15" hidden="false" customHeight="false" outlineLevel="0" collapsed="false"/>
    <row r="3402" customFormat="false" ht="15" hidden="false" customHeight="false" outlineLevel="0" collapsed="false"/>
    <row r="3403" customFormat="false" ht="15" hidden="false" customHeight="false" outlineLevel="0" collapsed="false"/>
    <row r="3404" customFormat="false" ht="15" hidden="false" customHeight="false" outlineLevel="0" collapsed="false"/>
    <row r="3405" customFormat="false" ht="15" hidden="false" customHeight="false" outlineLevel="0" collapsed="false"/>
    <row r="3406" customFormat="false" ht="15" hidden="false" customHeight="false" outlineLevel="0" collapsed="false"/>
    <row r="3407" customFormat="false" ht="15" hidden="false" customHeight="false" outlineLevel="0" collapsed="false"/>
    <row r="3408" customFormat="false" ht="15" hidden="false" customHeight="false" outlineLevel="0" collapsed="false"/>
    <row r="3409" customFormat="false" ht="15" hidden="false" customHeight="false" outlineLevel="0" collapsed="false"/>
    <row r="3410" customFormat="false" ht="15" hidden="false" customHeight="false" outlineLevel="0" collapsed="false"/>
    <row r="3411" customFormat="false" ht="15" hidden="false" customHeight="false" outlineLevel="0" collapsed="false"/>
    <row r="3412" customFormat="false" ht="15" hidden="false" customHeight="false" outlineLevel="0" collapsed="false"/>
    <row r="3413" customFormat="false" ht="15" hidden="false" customHeight="false" outlineLevel="0" collapsed="false"/>
    <row r="3414" customFormat="false" ht="15" hidden="false" customHeight="false" outlineLevel="0" collapsed="false"/>
    <row r="3415" customFormat="false" ht="15" hidden="false" customHeight="false" outlineLevel="0" collapsed="false"/>
    <row r="3416" customFormat="false" ht="15" hidden="false" customHeight="false" outlineLevel="0" collapsed="false"/>
    <row r="3417" customFormat="false" ht="15" hidden="false" customHeight="false" outlineLevel="0" collapsed="false"/>
    <row r="3418" customFormat="false" ht="15" hidden="false" customHeight="false" outlineLevel="0" collapsed="false"/>
    <row r="3419" customFormat="false" ht="15" hidden="false" customHeight="false" outlineLevel="0" collapsed="false"/>
    <row r="3420" customFormat="false" ht="15" hidden="false" customHeight="false" outlineLevel="0" collapsed="false"/>
    <row r="3421" customFormat="false" ht="15" hidden="false" customHeight="false" outlineLevel="0" collapsed="false"/>
    <row r="3422" customFormat="false" ht="15" hidden="false" customHeight="false" outlineLevel="0" collapsed="false"/>
    <row r="3423" customFormat="false" ht="15" hidden="false" customHeight="false" outlineLevel="0" collapsed="false"/>
    <row r="3424" customFormat="false" ht="15" hidden="false" customHeight="false" outlineLevel="0" collapsed="false"/>
    <row r="3425" customFormat="false" ht="15" hidden="false" customHeight="false" outlineLevel="0" collapsed="false"/>
    <row r="3426" customFormat="false" ht="15" hidden="false" customHeight="false" outlineLevel="0" collapsed="false"/>
    <row r="3427" customFormat="false" ht="15" hidden="false" customHeight="false" outlineLevel="0" collapsed="false"/>
    <row r="3428" customFormat="false" ht="15" hidden="false" customHeight="false" outlineLevel="0" collapsed="false"/>
    <row r="3429" customFormat="false" ht="15" hidden="false" customHeight="false" outlineLevel="0" collapsed="false"/>
    <row r="3430" customFormat="false" ht="15" hidden="false" customHeight="false" outlineLevel="0" collapsed="false"/>
    <row r="3431" customFormat="false" ht="15" hidden="false" customHeight="false" outlineLevel="0" collapsed="false"/>
    <row r="3432" customFormat="false" ht="15" hidden="false" customHeight="false" outlineLevel="0" collapsed="false"/>
    <row r="3433" customFormat="false" ht="15" hidden="false" customHeight="false" outlineLevel="0" collapsed="false"/>
    <row r="3434" customFormat="false" ht="15" hidden="false" customHeight="false" outlineLevel="0" collapsed="false"/>
    <row r="3435" customFormat="false" ht="15" hidden="false" customHeight="false" outlineLevel="0" collapsed="false"/>
    <row r="3436" customFormat="false" ht="15" hidden="false" customHeight="false" outlineLevel="0" collapsed="false"/>
    <row r="3437" customFormat="false" ht="15" hidden="false" customHeight="false" outlineLevel="0" collapsed="false"/>
    <row r="3438" customFormat="false" ht="15" hidden="false" customHeight="false" outlineLevel="0" collapsed="false"/>
    <row r="3439" customFormat="false" ht="15" hidden="false" customHeight="false" outlineLevel="0" collapsed="false"/>
    <row r="3440" customFormat="false" ht="15" hidden="false" customHeight="false" outlineLevel="0" collapsed="false"/>
    <row r="3441" customFormat="false" ht="15" hidden="false" customHeight="false" outlineLevel="0" collapsed="false"/>
    <row r="3442" customFormat="false" ht="15" hidden="false" customHeight="false" outlineLevel="0" collapsed="false"/>
    <row r="3443" customFormat="false" ht="15" hidden="false" customHeight="false" outlineLevel="0" collapsed="false"/>
    <row r="3444" customFormat="false" ht="15" hidden="false" customHeight="false" outlineLevel="0" collapsed="false"/>
    <row r="3445" customFormat="false" ht="15" hidden="false" customHeight="false" outlineLevel="0" collapsed="false"/>
    <row r="3446" customFormat="false" ht="15" hidden="false" customHeight="false" outlineLevel="0" collapsed="false"/>
    <row r="3447" customFormat="false" ht="15" hidden="false" customHeight="false" outlineLevel="0" collapsed="false"/>
    <row r="3448" customFormat="false" ht="15" hidden="false" customHeight="false" outlineLevel="0" collapsed="false"/>
    <row r="3449" customFormat="false" ht="15" hidden="false" customHeight="false" outlineLevel="0" collapsed="false"/>
    <row r="3450" customFormat="false" ht="15" hidden="false" customHeight="false" outlineLevel="0" collapsed="false"/>
    <row r="3451" customFormat="false" ht="15" hidden="false" customHeight="false" outlineLevel="0" collapsed="false"/>
    <row r="3452" customFormat="false" ht="15" hidden="false" customHeight="false" outlineLevel="0" collapsed="false"/>
    <row r="3453" customFormat="false" ht="15" hidden="false" customHeight="false" outlineLevel="0" collapsed="false"/>
    <row r="3454" customFormat="false" ht="15" hidden="false" customHeight="false" outlineLevel="0" collapsed="false"/>
    <row r="3455" customFormat="false" ht="15" hidden="false" customHeight="false" outlineLevel="0" collapsed="false"/>
    <row r="3456" customFormat="false" ht="15" hidden="false" customHeight="false" outlineLevel="0" collapsed="false"/>
    <row r="3457" customFormat="false" ht="15" hidden="false" customHeight="false" outlineLevel="0" collapsed="false"/>
    <row r="3458" customFormat="false" ht="15" hidden="false" customHeight="false" outlineLevel="0" collapsed="false"/>
    <row r="3459" customFormat="false" ht="15" hidden="false" customHeight="false" outlineLevel="0" collapsed="false"/>
    <row r="3460" customFormat="false" ht="15" hidden="false" customHeight="false" outlineLevel="0" collapsed="false"/>
    <row r="3461" customFormat="false" ht="15" hidden="false" customHeight="false" outlineLevel="0" collapsed="false"/>
    <row r="3462" customFormat="false" ht="15" hidden="false" customHeight="false" outlineLevel="0" collapsed="false"/>
    <row r="3463" customFormat="false" ht="15" hidden="false" customHeight="false" outlineLevel="0" collapsed="false"/>
    <row r="3464" customFormat="false" ht="15" hidden="false" customHeight="false" outlineLevel="0" collapsed="false"/>
    <row r="3465" customFormat="false" ht="15" hidden="false" customHeight="false" outlineLevel="0" collapsed="false"/>
    <row r="3466" customFormat="false" ht="15" hidden="false" customHeight="false" outlineLevel="0" collapsed="false"/>
    <row r="3467" customFormat="false" ht="15" hidden="false" customHeight="false" outlineLevel="0" collapsed="false"/>
    <row r="3468" customFormat="false" ht="15" hidden="false" customHeight="false" outlineLevel="0" collapsed="false"/>
    <row r="3469" customFormat="false" ht="15" hidden="false" customHeight="false" outlineLevel="0" collapsed="false"/>
    <row r="3470" customFormat="false" ht="15" hidden="false" customHeight="false" outlineLevel="0" collapsed="false"/>
    <row r="3471" customFormat="false" ht="15" hidden="false" customHeight="false" outlineLevel="0" collapsed="false"/>
    <row r="3472" customFormat="false" ht="15" hidden="false" customHeight="false" outlineLevel="0" collapsed="false"/>
    <row r="3473" customFormat="false" ht="15" hidden="false" customHeight="false" outlineLevel="0" collapsed="false"/>
    <row r="3474" customFormat="false" ht="15" hidden="false" customHeight="false" outlineLevel="0" collapsed="false"/>
    <row r="3475" customFormat="false" ht="15" hidden="false" customHeight="false" outlineLevel="0" collapsed="false"/>
    <row r="3476" customFormat="false" ht="15" hidden="false" customHeight="false" outlineLevel="0" collapsed="false"/>
    <row r="3477" customFormat="false" ht="15" hidden="false" customHeight="false" outlineLevel="0" collapsed="false"/>
    <row r="3478" customFormat="false" ht="15" hidden="false" customHeight="false" outlineLevel="0" collapsed="false"/>
    <row r="3479" customFormat="false" ht="15" hidden="false" customHeight="false" outlineLevel="0" collapsed="false"/>
    <row r="3480" customFormat="false" ht="15" hidden="false" customHeight="false" outlineLevel="0" collapsed="false"/>
    <row r="3481" customFormat="false" ht="15" hidden="false" customHeight="false" outlineLevel="0" collapsed="false"/>
    <row r="3482" customFormat="false" ht="15" hidden="false" customHeight="false" outlineLevel="0" collapsed="false"/>
    <row r="3483" customFormat="false" ht="15" hidden="false" customHeight="false" outlineLevel="0" collapsed="false"/>
    <row r="3484" customFormat="false" ht="15" hidden="false" customHeight="false" outlineLevel="0" collapsed="false"/>
    <row r="3485" customFormat="false" ht="15" hidden="false" customHeight="false" outlineLevel="0" collapsed="false"/>
    <row r="3486" customFormat="false" ht="15" hidden="false" customHeight="false" outlineLevel="0" collapsed="false"/>
    <row r="3487" customFormat="false" ht="15" hidden="false" customHeight="false" outlineLevel="0" collapsed="false"/>
    <row r="3488" customFormat="false" ht="15" hidden="false" customHeight="false" outlineLevel="0" collapsed="false"/>
    <row r="3489" customFormat="false" ht="15" hidden="false" customHeight="false" outlineLevel="0" collapsed="false"/>
    <row r="3490" customFormat="false" ht="15" hidden="false" customHeight="false" outlineLevel="0" collapsed="false"/>
    <row r="3491" customFormat="false" ht="15" hidden="false" customHeight="false" outlineLevel="0" collapsed="false"/>
    <row r="3492" customFormat="false" ht="15" hidden="false" customHeight="false" outlineLevel="0" collapsed="false"/>
    <row r="3493" customFormat="false" ht="15" hidden="false" customHeight="false" outlineLevel="0" collapsed="false"/>
    <row r="3494" customFormat="false" ht="15" hidden="false" customHeight="false" outlineLevel="0" collapsed="false"/>
    <row r="3495" customFormat="false" ht="15" hidden="false" customHeight="false" outlineLevel="0" collapsed="false"/>
    <row r="3496" customFormat="false" ht="15" hidden="false" customHeight="false" outlineLevel="0" collapsed="false"/>
    <row r="3497" customFormat="false" ht="15" hidden="false" customHeight="false" outlineLevel="0" collapsed="false"/>
    <row r="3498" customFormat="false" ht="15" hidden="false" customHeight="false" outlineLevel="0" collapsed="false"/>
    <row r="3499" customFormat="false" ht="15" hidden="false" customHeight="false" outlineLevel="0" collapsed="false"/>
    <row r="3500" customFormat="false" ht="15" hidden="false" customHeight="false" outlineLevel="0" collapsed="false"/>
    <row r="3501" customFormat="false" ht="15" hidden="false" customHeight="false" outlineLevel="0" collapsed="false"/>
    <row r="3502" customFormat="false" ht="15" hidden="false" customHeight="false" outlineLevel="0" collapsed="false"/>
    <row r="3503" customFormat="false" ht="15" hidden="false" customHeight="false" outlineLevel="0" collapsed="false"/>
    <row r="3504" customFormat="false" ht="15" hidden="false" customHeight="false" outlineLevel="0" collapsed="false"/>
    <row r="3505" customFormat="false" ht="15" hidden="false" customHeight="false" outlineLevel="0" collapsed="false"/>
    <row r="3506" customFormat="false" ht="15" hidden="false" customHeight="false" outlineLevel="0" collapsed="false"/>
    <row r="3507" customFormat="false" ht="15" hidden="false" customHeight="false" outlineLevel="0" collapsed="false"/>
    <row r="3508" customFormat="false" ht="15" hidden="false" customHeight="false" outlineLevel="0" collapsed="false"/>
    <row r="3509" customFormat="false" ht="15" hidden="false" customHeight="false" outlineLevel="0" collapsed="false"/>
    <row r="3510" customFormat="false" ht="15" hidden="false" customHeight="false" outlineLevel="0" collapsed="false"/>
    <row r="3511" customFormat="false" ht="15" hidden="false" customHeight="false" outlineLevel="0" collapsed="false"/>
    <row r="3512" customFormat="false" ht="15" hidden="false" customHeight="false" outlineLevel="0" collapsed="false"/>
    <row r="3513" customFormat="false" ht="15" hidden="false" customHeight="false" outlineLevel="0" collapsed="false"/>
    <row r="3514" customFormat="false" ht="15" hidden="false" customHeight="false" outlineLevel="0" collapsed="false"/>
    <row r="3515" customFormat="false" ht="15" hidden="false" customHeight="false" outlineLevel="0" collapsed="false"/>
    <row r="3516" customFormat="false" ht="15" hidden="false" customHeight="false" outlineLevel="0" collapsed="false"/>
    <row r="3517" customFormat="false" ht="15" hidden="false" customHeight="false" outlineLevel="0" collapsed="false"/>
    <row r="3518" customFormat="false" ht="15" hidden="false" customHeight="false" outlineLevel="0" collapsed="false"/>
    <row r="3519" customFormat="false" ht="15" hidden="false" customHeight="false" outlineLevel="0" collapsed="false"/>
    <row r="3520" customFormat="false" ht="15" hidden="false" customHeight="false" outlineLevel="0" collapsed="false"/>
    <row r="3521" customFormat="false" ht="15" hidden="false" customHeight="false" outlineLevel="0" collapsed="false"/>
    <row r="3522" customFormat="false" ht="15" hidden="false" customHeight="false" outlineLevel="0" collapsed="false"/>
    <row r="3523" customFormat="false" ht="15" hidden="false" customHeight="false" outlineLevel="0" collapsed="false"/>
    <row r="3524" customFormat="false" ht="15" hidden="false" customHeight="false" outlineLevel="0" collapsed="false"/>
    <row r="3525" customFormat="false" ht="15" hidden="false" customHeight="false" outlineLevel="0" collapsed="false"/>
    <row r="3526" customFormat="false" ht="15" hidden="false" customHeight="false" outlineLevel="0" collapsed="false"/>
    <row r="3527" customFormat="false" ht="15" hidden="false" customHeight="false" outlineLevel="0" collapsed="false"/>
    <row r="3528" customFormat="false" ht="15" hidden="false" customHeight="false" outlineLevel="0" collapsed="false"/>
    <row r="3529" customFormat="false" ht="15" hidden="false" customHeight="false" outlineLevel="0" collapsed="false"/>
    <row r="3530" customFormat="false" ht="15" hidden="false" customHeight="false" outlineLevel="0" collapsed="false"/>
    <row r="3531" customFormat="false" ht="15" hidden="false" customHeight="false" outlineLevel="0" collapsed="false"/>
    <row r="3532" customFormat="false" ht="15" hidden="false" customHeight="false" outlineLevel="0" collapsed="false"/>
    <row r="3533" customFormat="false" ht="15" hidden="false" customHeight="false" outlineLevel="0" collapsed="false"/>
    <row r="3534" customFormat="false" ht="15" hidden="false" customHeight="false" outlineLevel="0" collapsed="false"/>
    <row r="3535" customFormat="false" ht="15" hidden="false" customHeight="false" outlineLevel="0" collapsed="false"/>
    <row r="3536" customFormat="false" ht="15" hidden="false" customHeight="false" outlineLevel="0" collapsed="false"/>
    <row r="3537" customFormat="false" ht="15" hidden="false" customHeight="false" outlineLevel="0" collapsed="false"/>
    <row r="3538" customFormat="false" ht="15" hidden="false" customHeight="false" outlineLevel="0" collapsed="false"/>
    <row r="3539" customFormat="false" ht="15" hidden="false" customHeight="false" outlineLevel="0" collapsed="false"/>
    <row r="3540" customFormat="false" ht="15" hidden="false" customHeight="false" outlineLevel="0" collapsed="false"/>
    <row r="3541" customFormat="false" ht="15" hidden="false" customHeight="false" outlineLevel="0" collapsed="false"/>
    <row r="3542" customFormat="false" ht="15" hidden="false" customHeight="false" outlineLevel="0" collapsed="false"/>
    <row r="3543" customFormat="false" ht="15" hidden="false" customHeight="false" outlineLevel="0" collapsed="false"/>
    <row r="3544" customFormat="false" ht="15" hidden="false" customHeight="false" outlineLevel="0" collapsed="false"/>
    <row r="3545" customFormat="false" ht="15" hidden="false" customHeight="false" outlineLevel="0" collapsed="false"/>
    <row r="3546" customFormat="false" ht="15" hidden="false" customHeight="false" outlineLevel="0" collapsed="false"/>
    <row r="3547" customFormat="false" ht="15" hidden="false" customHeight="false" outlineLevel="0" collapsed="false"/>
    <row r="3548" customFormat="false" ht="15" hidden="false" customHeight="false" outlineLevel="0" collapsed="false"/>
    <row r="3549" customFormat="false" ht="15" hidden="false" customHeight="false" outlineLevel="0" collapsed="false"/>
    <row r="3550" customFormat="false" ht="15" hidden="false" customHeight="false" outlineLevel="0" collapsed="false"/>
    <row r="3551" customFormat="false" ht="15" hidden="false" customHeight="false" outlineLevel="0" collapsed="false"/>
    <row r="3552" customFormat="false" ht="15" hidden="false" customHeight="false" outlineLevel="0" collapsed="false"/>
    <row r="3553" customFormat="false" ht="15" hidden="false" customHeight="false" outlineLevel="0" collapsed="false"/>
    <row r="3554" customFormat="false" ht="15" hidden="false" customHeight="false" outlineLevel="0" collapsed="false"/>
    <row r="3555" customFormat="false" ht="15" hidden="false" customHeight="false" outlineLevel="0" collapsed="false"/>
    <row r="3556" customFormat="false" ht="15" hidden="false" customHeight="false" outlineLevel="0" collapsed="false"/>
    <row r="3557" customFormat="false" ht="15" hidden="false" customHeight="false" outlineLevel="0" collapsed="false"/>
    <row r="3558" customFormat="false" ht="15" hidden="false" customHeight="false" outlineLevel="0" collapsed="false"/>
    <row r="3559" customFormat="false" ht="15" hidden="false" customHeight="false" outlineLevel="0" collapsed="false"/>
    <row r="3560" customFormat="false" ht="15" hidden="false" customHeight="false" outlineLevel="0" collapsed="false"/>
    <row r="3561" customFormat="false" ht="15" hidden="false" customHeight="false" outlineLevel="0" collapsed="false"/>
    <row r="3562" customFormat="false" ht="15" hidden="false" customHeight="false" outlineLevel="0" collapsed="false"/>
    <row r="3563" customFormat="false" ht="15" hidden="false" customHeight="false" outlineLevel="0" collapsed="false"/>
    <row r="3564" customFormat="false" ht="15" hidden="false" customHeight="false" outlineLevel="0" collapsed="false"/>
    <row r="3565" customFormat="false" ht="15" hidden="false" customHeight="false" outlineLevel="0" collapsed="false"/>
    <row r="3566" customFormat="false" ht="15" hidden="false" customHeight="false" outlineLevel="0" collapsed="false"/>
    <row r="3567" customFormat="false" ht="15" hidden="false" customHeight="false" outlineLevel="0" collapsed="false"/>
    <row r="3568" customFormat="false" ht="15" hidden="false" customHeight="false" outlineLevel="0" collapsed="false"/>
    <row r="3569" customFormat="false" ht="15" hidden="false" customHeight="false" outlineLevel="0" collapsed="false"/>
    <row r="3570" customFormat="false" ht="15" hidden="false" customHeight="false" outlineLevel="0" collapsed="false"/>
    <row r="3571" customFormat="false" ht="15" hidden="false" customHeight="false" outlineLevel="0" collapsed="false"/>
    <row r="3572" customFormat="false" ht="15" hidden="false" customHeight="false" outlineLevel="0" collapsed="false"/>
    <row r="3573" customFormat="false" ht="15" hidden="false" customHeight="false" outlineLevel="0" collapsed="false"/>
    <row r="3574" customFormat="false" ht="15" hidden="false" customHeight="false" outlineLevel="0" collapsed="false"/>
    <row r="3575" customFormat="false" ht="15" hidden="false" customHeight="false" outlineLevel="0" collapsed="false"/>
    <row r="3576" customFormat="false" ht="15" hidden="false" customHeight="false" outlineLevel="0" collapsed="false"/>
    <row r="3577" customFormat="false" ht="15" hidden="false" customHeight="false" outlineLevel="0" collapsed="false"/>
    <row r="3578" customFormat="false" ht="15" hidden="false" customHeight="false" outlineLevel="0" collapsed="false"/>
    <row r="3579" customFormat="false" ht="15" hidden="false" customHeight="false" outlineLevel="0" collapsed="false"/>
    <row r="3580" customFormat="false" ht="15" hidden="false" customHeight="false" outlineLevel="0" collapsed="false"/>
    <row r="3581" customFormat="false" ht="15" hidden="false" customHeight="false" outlineLevel="0" collapsed="false"/>
    <row r="3582" customFormat="false" ht="15" hidden="false" customHeight="false" outlineLevel="0" collapsed="false"/>
    <row r="3583" customFormat="false" ht="15" hidden="false" customHeight="false" outlineLevel="0" collapsed="false"/>
    <row r="3584" customFormat="false" ht="15" hidden="false" customHeight="false" outlineLevel="0" collapsed="false"/>
    <row r="3585" customFormat="false" ht="15" hidden="false" customHeight="false" outlineLevel="0" collapsed="false"/>
    <row r="3586" customFormat="false" ht="15" hidden="false" customHeight="false" outlineLevel="0" collapsed="false"/>
    <row r="3587" customFormat="false" ht="15" hidden="false" customHeight="false" outlineLevel="0" collapsed="false"/>
    <row r="3588" customFormat="false" ht="15" hidden="false" customHeight="false" outlineLevel="0" collapsed="false"/>
    <row r="3589" customFormat="false" ht="15" hidden="false" customHeight="false" outlineLevel="0" collapsed="false"/>
    <row r="3590" customFormat="false" ht="15" hidden="false" customHeight="false" outlineLevel="0" collapsed="false"/>
    <row r="3591" customFormat="false" ht="15" hidden="false" customHeight="false" outlineLevel="0" collapsed="false"/>
    <row r="3592" customFormat="false" ht="15" hidden="false" customHeight="false" outlineLevel="0" collapsed="false"/>
    <row r="3593" customFormat="false" ht="15" hidden="false" customHeight="false" outlineLevel="0" collapsed="false"/>
    <row r="3594" customFormat="false" ht="15" hidden="false" customHeight="false" outlineLevel="0" collapsed="false"/>
    <row r="3595" customFormat="false" ht="15" hidden="false" customHeight="false" outlineLevel="0" collapsed="false"/>
    <row r="3596" customFormat="false" ht="15" hidden="false" customHeight="false" outlineLevel="0" collapsed="false"/>
    <row r="3597" customFormat="false" ht="15" hidden="false" customHeight="false" outlineLevel="0" collapsed="false"/>
    <row r="3598" customFormat="false" ht="15" hidden="false" customHeight="false" outlineLevel="0" collapsed="false"/>
    <row r="3599" customFormat="false" ht="15" hidden="false" customHeight="false" outlineLevel="0" collapsed="false"/>
    <row r="3600" customFormat="false" ht="15" hidden="false" customHeight="false" outlineLevel="0" collapsed="false"/>
    <row r="3601" customFormat="false" ht="15" hidden="false" customHeight="false" outlineLevel="0" collapsed="false"/>
    <row r="3602" customFormat="false" ht="15" hidden="false" customHeight="false" outlineLevel="0" collapsed="false"/>
    <row r="3603" customFormat="false" ht="15" hidden="false" customHeight="false" outlineLevel="0" collapsed="false"/>
    <row r="3604" customFormat="false" ht="15" hidden="false" customHeight="false" outlineLevel="0" collapsed="false"/>
    <row r="3605" customFormat="false" ht="15" hidden="false" customHeight="false" outlineLevel="0" collapsed="false"/>
    <row r="3606" customFormat="false" ht="15" hidden="false" customHeight="false" outlineLevel="0" collapsed="false"/>
    <row r="3607" customFormat="false" ht="15" hidden="false" customHeight="false" outlineLevel="0" collapsed="false"/>
    <row r="3608" customFormat="false" ht="15" hidden="false" customHeight="false" outlineLevel="0" collapsed="false"/>
    <row r="3609" customFormat="false" ht="15" hidden="false" customHeight="false" outlineLevel="0" collapsed="false"/>
    <row r="3610" customFormat="false" ht="15" hidden="false" customHeight="false" outlineLevel="0" collapsed="false"/>
    <row r="3611" customFormat="false" ht="15" hidden="false" customHeight="false" outlineLevel="0" collapsed="false"/>
    <row r="3612" customFormat="false" ht="15" hidden="false" customHeight="false" outlineLevel="0" collapsed="false"/>
    <row r="3613" customFormat="false" ht="15" hidden="false" customHeight="false" outlineLevel="0" collapsed="false"/>
    <row r="3614" customFormat="false" ht="15" hidden="false" customHeight="false" outlineLevel="0" collapsed="false"/>
    <row r="3615" customFormat="false" ht="15" hidden="false" customHeight="false" outlineLevel="0" collapsed="false"/>
    <row r="3616" customFormat="false" ht="15" hidden="false" customHeight="false" outlineLevel="0" collapsed="false"/>
    <row r="3617" customFormat="false" ht="15" hidden="false" customHeight="false" outlineLevel="0" collapsed="false"/>
    <row r="3618" customFormat="false" ht="15" hidden="false" customHeight="false" outlineLevel="0" collapsed="false"/>
    <row r="3619" customFormat="false" ht="15" hidden="false" customHeight="false" outlineLevel="0" collapsed="false"/>
    <row r="3620" customFormat="false" ht="15" hidden="false" customHeight="false" outlineLevel="0" collapsed="false"/>
    <row r="3621" customFormat="false" ht="15" hidden="false" customHeight="false" outlineLevel="0" collapsed="false"/>
    <row r="3622" customFormat="false" ht="15" hidden="false" customHeight="false" outlineLevel="0" collapsed="false"/>
    <row r="3623" customFormat="false" ht="15" hidden="false" customHeight="false" outlineLevel="0" collapsed="false"/>
    <row r="3624" customFormat="false" ht="15" hidden="false" customHeight="false" outlineLevel="0" collapsed="false"/>
    <row r="3625" customFormat="false" ht="15" hidden="false" customHeight="false" outlineLevel="0" collapsed="false"/>
    <row r="3626" customFormat="false" ht="15" hidden="false" customHeight="false" outlineLevel="0" collapsed="false"/>
    <row r="3627" customFormat="false" ht="15" hidden="false" customHeight="false" outlineLevel="0" collapsed="false"/>
    <row r="3628" customFormat="false" ht="15" hidden="false" customHeight="false" outlineLevel="0" collapsed="false"/>
    <row r="3629" customFormat="false" ht="15" hidden="false" customHeight="false" outlineLevel="0" collapsed="false"/>
    <row r="3630" customFormat="false" ht="15" hidden="false" customHeight="false" outlineLevel="0" collapsed="false"/>
    <row r="3631" customFormat="false" ht="15" hidden="false" customHeight="false" outlineLevel="0" collapsed="false"/>
    <row r="3632" customFormat="false" ht="15" hidden="false" customHeight="false" outlineLevel="0" collapsed="false"/>
    <row r="3633" customFormat="false" ht="15" hidden="false" customHeight="false" outlineLevel="0" collapsed="false"/>
    <row r="3634" customFormat="false" ht="15" hidden="false" customHeight="false" outlineLevel="0" collapsed="false"/>
    <row r="3635" customFormat="false" ht="15" hidden="false" customHeight="false" outlineLevel="0" collapsed="false"/>
    <row r="3636" customFormat="false" ht="15" hidden="false" customHeight="false" outlineLevel="0" collapsed="false"/>
    <row r="3637" customFormat="false" ht="15" hidden="false" customHeight="false" outlineLevel="0" collapsed="false"/>
    <row r="3638" customFormat="false" ht="15" hidden="false" customHeight="false" outlineLevel="0" collapsed="false"/>
    <row r="3639" customFormat="false" ht="15" hidden="false" customHeight="false" outlineLevel="0" collapsed="false"/>
    <row r="3640" customFormat="false" ht="15" hidden="false" customHeight="false" outlineLevel="0" collapsed="false"/>
    <row r="3641" customFormat="false" ht="15" hidden="false" customHeight="false" outlineLevel="0" collapsed="false"/>
    <row r="3642" customFormat="false" ht="15" hidden="false" customHeight="false" outlineLevel="0" collapsed="false"/>
    <row r="3643" customFormat="false" ht="15" hidden="false" customHeight="false" outlineLevel="0" collapsed="false"/>
    <row r="3644" customFormat="false" ht="15" hidden="false" customHeight="false" outlineLevel="0" collapsed="false"/>
    <row r="3645" customFormat="false" ht="15" hidden="false" customHeight="false" outlineLevel="0" collapsed="false"/>
    <row r="3646" customFormat="false" ht="15" hidden="false" customHeight="false" outlineLevel="0" collapsed="false"/>
    <row r="3647" customFormat="false" ht="15" hidden="false" customHeight="false" outlineLevel="0" collapsed="false"/>
    <row r="3648" customFormat="false" ht="15" hidden="false" customHeight="false" outlineLevel="0" collapsed="false"/>
    <row r="3649" customFormat="false" ht="15" hidden="false" customHeight="false" outlineLevel="0" collapsed="false"/>
    <row r="3650" customFormat="false" ht="15" hidden="false" customHeight="false" outlineLevel="0" collapsed="false"/>
    <row r="3651" customFormat="false" ht="15" hidden="false" customHeight="false" outlineLevel="0" collapsed="false"/>
    <row r="3652" customFormat="false" ht="15" hidden="false" customHeight="false" outlineLevel="0" collapsed="false"/>
    <row r="3653" customFormat="false" ht="15" hidden="false" customHeight="false" outlineLevel="0" collapsed="false"/>
    <row r="3654" customFormat="false" ht="15" hidden="false" customHeight="false" outlineLevel="0" collapsed="false"/>
    <row r="3655" customFormat="false" ht="15" hidden="false" customHeight="false" outlineLevel="0" collapsed="false"/>
    <row r="3656" customFormat="false" ht="15" hidden="false" customHeight="false" outlineLevel="0" collapsed="false"/>
    <row r="3657" customFormat="false" ht="15" hidden="false" customHeight="false" outlineLevel="0" collapsed="false"/>
    <row r="3658" customFormat="false" ht="15" hidden="false" customHeight="false" outlineLevel="0" collapsed="false"/>
    <row r="3659" customFormat="false" ht="15" hidden="false" customHeight="false" outlineLevel="0" collapsed="false"/>
    <row r="3660" customFormat="false" ht="15" hidden="false" customHeight="false" outlineLevel="0" collapsed="false"/>
    <row r="3661" customFormat="false" ht="15" hidden="false" customHeight="false" outlineLevel="0" collapsed="false"/>
    <row r="3662" customFormat="false" ht="15" hidden="false" customHeight="false" outlineLevel="0" collapsed="false"/>
    <row r="3663" customFormat="false" ht="15" hidden="false" customHeight="false" outlineLevel="0" collapsed="false"/>
    <row r="3664" customFormat="false" ht="15" hidden="false" customHeight="false" outlineLevel="0" collapsed="false"/>
    <row r="3665" customFormat="false" ht="15" hidden="false" customHeight="false" outlineLevel="0" collapsed="false"/>
    <row r="3666" customFormat="false" ht="15" hidden="false" customHeight="false" outlineLevel="0" collapsed="false"/>
    <row r="3667" customFormat="false" ht="15" hidden="false" customHeight="false" outlineLevel="0" collapsed="false"/>
    <row r="3668" customFormat="false" ht="15" hidden="false" customHeight="false" outlineLevel="0" collapsed="false"/>
    <row r="3669" customFormat="false" ht="15" hidden="false" customHeight="false" outlineLevel="0" collapsed="false"/>
    <row r="3670" customFormat="false" ht="15" hidden="false" customHeight="false" outlineLevel="0" collapsed="false"/>
    <row r="3671" customFormat="false" ht="15" hidden="false" customHeight="false" outlineLevel="0" collapsed="false"/>
    <row r="3672" customFormat="false" ht="15" hidden="false" customHeight="false" outlineLevel="0" collapsed="false"/>
    <row r="3673" customFormat="false" ht="15" hidden="false" customHeight="false" outlineLevel="0" collapsed="false"/>
    <row r="3674" customFormat="false" ht="15" hidden="false" customHeight="false" outlineLevel="0" collapsed="false"/>
    <row r="3675" customFormat="false" ht="15" hidden="false" customHeight="false" outlineLevel="0" collapsed="false"/>
    <row r="3676" customFormat="false" ht="15" hidden="false" customHeight="false" outlineLevel="0" collapsed="false"/>
    <row r="3677" customFormat="false" ht="15" hidden="false" customHeight="false" outlineLevel="0" collapsed="false"/>
    <row r="3678" customFormat="false" ht="15" hidden="false" customHeight="false" outlineLevel="0" collapsed="false"/>
    <row r="3679" customFormat="false" ht="15" hidden="false" customHeight="false" outlineLevel="0" collapsed="false"/>
    <row r="3680" customFormat="false" ht="15" hidden="false" customHeight="false" outlineLevel="0" collapsed="false"/>
    <row r="3681" customFormat="false" ht="15" hidden="false" customHeight="false" outlineLevel="0" collapsed="false"/>
    <row r="3682" customFormat="false" ht="15" hidden="false" customHeight="false" outlineLevel="0" collapsed="false"/>
    <row r="3683" customFormat="false" ht="15" hidden="false" customHeight="false" outlineLevel="0" collapsed="false"/>
    <row r="3684" customFormat="false" ht="15" hidden="false" customHeight="false" outlineLevel="0" collapsed="false"/>
    <row r="3685" customFormat="false" ht="15" hidden="false" customHeight="false" outlineLevel="0" collapsed="false"/>
    <row r="3686" customFormat="false" ht="15" hidden="false" customHeight="false" outlineLevel="0" collapsed="false"/>
    <row r="3687" customFormat="false" ht="15" hidden="false" customHeight="false" outlineLevel="0" collapsed="false"/>
    <row r="3688" customFormat="false" ht="15" hidden="false" customHeight="false" outlineLevel="0" collapsed="false"/>
    <row r="3689" customFormat="false" ht="15" hidden="false" customHeight="false" outlineLevel="0" collapsed="false"/>
    <row r="3690" customFormat="false" ht="15" hidden="false" customHeight="false" outlineLevel="0" collapsed="false"/>
    <row r="3691" customFormat="false" ht="15" hidden="false" customHeight="false" outlineLevel="0" collapsed="false"/>
    <row r="3692" customFormat="false" ht="15" hidden="false" customHeight="false" outlineLevel="0" collapsed="false"/>
    <row r="3693" customFormat="false" ht="15" hidden="false" customHeight="false" outlineLevel="0" collapsed="false"/>
    <row r="3694" customFormat="false" ht="15" hidden="false" customHeight="false" outlineLevel="0" collapsed="false"/>
    <row r="3695" customFormat="false" ht="15" hidden="false" customHeight="false" outlineLevel="0" collapsed="false"/>
    <row r="3696" customFormat="false" ht="15" hidden="false" customHeight="false" outlineLevel="0" collapsed="false"/>
    <row r="3697" customFormat="false" ht="15" hidden="false" customHeight="false" outlineLevel="0" collapsed="false"/>
    <row r="3698" customFormat="false" ht="15" hidden="false" customHeight="false" outlineLevel="0" collapsed="false"/>
    <row r="3699" customFormat="false" ht="15" hidden="false" customHeight="false" outlineLevel="0" collapsed="false"/>
    <row r="3700" customFormat="false" ht="15" hidden="false" customHeight="false" outlineLevel="0" collapsed="false"/>
    <row r="3701" customFormat="false" ht="15" hidden="false" customHeight="false" outlineLevel="0" collapsed="false"/>
    <row r="3702" customFormat="false" ht="15" hidden="false" customHeight="false" outlineLevel="0" collapsed="false"/>
    <row r="3703" customFormat="false" ht="15" hidden="false" customHeight="false" outlineLevel="0" collapsed="false"/>
    <row r="3704" customFormat="false" ht="15" hidden="false" customHeight="false" outlineLevel="0" collapsed="false"/>
    <row r="3705" customFormat="false" ht="15" hidden="false" customHeight="false" outlineLevel="0" collapsed="false"/>
    <row r="3706" customFormat="false" ht="15" hidden="false" customHeight="false" outlineLevel="0" collapsed="false"/>
    <row r="3707" customFormat="false" ht="15" hidden="false" customHeight="false" outlineLevel="0" collapsed="false"/>
    <row r="3708" customFormat="false" ht="15" hidden="false" customHeight="false" outlineLevel="0" collapsed="false"/>
    <row r="3709" customFormat="false" ht="15" hidden="false" customHeight="false" outlineLevel="0" collapsed="false"/>
    <row r="3710" customFormat="false" ht="15" hidden="false" customHeight="false" outlineLevel="0" collapsed="false"/>
    <row r="3711" customFormat="false" ht="15" hidden="false" customHeight="false" outlineLevel="0" collapsed="false"/>
    <row r="3712" customFormat="false" ht="15" hidden="false" customHeight="false" outlineLevel="0" collapsed="false"/>
    <row r="3713" customFormat="false" ht="15" hidden="false" customHeight="false" outlineLevel="0" collapsed="false"/>
    <row r="3714" customFormat="false" ht="15" hidden="false" customHeight="false" outlineLevel="0" collapsed="false"/>
    <row r="3715" customFormat="false" ht="15" hidden="false" customHeight="false" outlineLevel="0" collapsed="false"/>
    <row r="3716" customFormat="false" ht="15" hidden="false" customHeight="false" outlineLevel="0" collapsed="false"/>
    <row r="3717" customFormat="false" ht="15" hidden="false" customHeight="false" outlineLevel="0" collapsed="false"/>
    <row r="3718" customFormat="false" ht="15" hidden="false" customHeight="false" outlineLevel="0" collapsed="false"/>
    <row r="3719" customFormat="false" ht="15" hidden="false" customHeight="false" outlineLevel="0" collapsed="false"/>
    <row r="3720" customFormat="false" ht="15" hidden="false" customHeight="false" outlineLevel="0" collapsed="false"/>
    <row r="3721" customFormat="false" ht="15" hidden="false" customHeight="false" outlineLevel="0" collapsed="false"/>
    <row r="3722" customFormat="false" ht="15" hidden="false" customHeight="false" outlineLevel="0" collapsed="false"/>
    <row r="3723" customFormat="false" ht="15" hidden="false" customHeight="false" outlineLevel="0" collapsed="false"/>
    <row r="3724" customFormat="false" ht="15" hidden="false" customHeight="false" outlineLevel="0" collapsed="false"/>
    <row r="3725" customFormat="false" ht="15" hidden="false" customHeight="false" outlineLevel="0" collapsed="false"/>
    <row r="3726" customFormat="false" ht="15" hidden="false" customHeight="false" outlineLevel="0" collapsed="false"/>
    <row r="3727" customFormat="false" ht="15" hidden="false" customHeight="false" outlineLevel="0" collapsed="false"/>
    <row r="3728" customFormat="false" ht="15" hidden="false" customHeight="false" outlineLevel="0" collapsed="false"/>
    <row r="3729" customFormat="false" ht="15" hidden="false" customHeight="false" outlineLevel="0" collapsed="false"/>
    <row r="3730" customFormat="false" ht="15" hidden="false" customHeight="false" outlineLevel="0" collapsed="false"/>
    <row r="3731" customFormat="false" ht="15" hidden="false" customHeight="false" outlineLevel="0" collapsed="false"/>
    <row r="3732" customFormat="false" ht="15" hidden="false" customHeight="false" outlineLevel="0" collapsed="false"/>
    <row r="3733" customFormat="false" ht="15" hidden="false" customHeight="false" outlineLevel="0" collapsed="false"/>
    <row r="3734" customFormat="false" ht="15" hidden="false" customHeight="false" outlineLevel="0" collapsed="false"/>
    <row r="3735" customFormat="false" ht="15" hidden="false" customHeight="false" outlineLevel="0" collapsed="false"/>
    <row r="3736" customFormat="false" ht="15" hidden="false" customHeight="false" outlineLevel="0" collapsed="false"/>
    <row r="3737" customFormat="false" ht="15" hidden="false" customHeight="false" outlineLevel="0" collapsed="false"/>
    <row r="3738" customFormat="false" ht="15" hidden="false" customHeight="false" outlineLevel="0" collapsed="false"/>
    <row r="3739" customFormat="false" ht="15" hidden="false" customHeight="false" outlineLevel="0" collapsed="false"/>
    <row r="3740" customFormat="false" ht="15" hidden="false" customHeight="false" outlineLevel="0" collapsed="false"/>
    <row r="3741" customFormat="false" ht="15" hidden="false" customHeight="false" outlineLevel="0" collapsed="false"/>
    <row r="3742" customFormat="false" ht="15" hidden="false" customHeight="false" outlineLevel="0" collapsed="false"/>
    <row r="3743" customFormat="false" ht="15" hidden="false" customHeight="false" outlineLevel="0" collapsed="false"/>
    <row r="3744" customFormat="false" ht="15" hidden="false" customHeight="false" outlineLevel="0" collapsed="false"/>
    <row r="3745" customFormat="false" ht="15" hidden="false" customHeight="false" outlineLevel="0" collapsed="false"/>
    <row r="3746" customFormat="false" ht="15" hidden="false" customHeight="false" outlineLevel="0" collapsed="false"/>
    <row r="3747" customFormat="false" ht="15" hidden="false" customHeight="false" outlineLevel="0" collapsed="false"/>
    <row r="3748" customFormat="false" ht="15" hidden="false" customHeight="false" outlineLevel="0" collapsed="false"/>
    <row r="3749" customFormat="false" ht="15" hidden="false" customHeight="false" outlineLevel="0" collapsed="false"/>
    <row r="3750" customFormat="false" ht="15" hidden="false" customHeight="false" outlineLevel="0" collapsed="false"/>
    <row r="3751" customFormat="false" ht="15" hidden="false" customHeight="false" outlineLevel="0" collapsed="false"/>
    <row r="3752" customFormat="false" ht="15" hidden="false" customHeight="false" outlineLevel="0" collapsed="false"/>
    <row r="3753" customFormat="false" ht="15" hidden="false" customHeight="false" outlineLevel="0" collapsed="false"/>
    <row r="3754" customFormat="false" ht="15" hidden="false" customHeight="false" outlineLevel="0" collapsed="false"/>
    <row r="3755" customFormat="false" ht="15" hidden="false" customHeight="false" outlineLevel="0" collapsed="false"/>
    <row r="3756" customFormat="false" ht="15" hidden="false" customHeight="false" outlineLevel="0" collapsed="false"/>
    <row r="3757" customFormat="false" ht="15" hidden="false" customHeight="false" outlineLevel="0" collapsed="false"/>
    <row r="3758" customFormat="false" ht="15" hidden="false" customHeight="false" outlineLevel="0" collapsed="false"/>
    <row r="3759" customFormat="false" ht="15" hidden="false" customHeight="false" outlineLevel="0" collapsed="false"/>
    <row r="3760" customFormat="false" ht="15" hidden="false" customHeight="false" outlineLevel="0" collapsed="false"/>
    <row r="3761" customFormat="false" ht="15" hidden="false" customHeight="false" outlineLevel="0" collapsed="false"/>
    <row r="3762" customFormat="false" ht="15" hidden="false" customHeight="false" outlineLevel="0" collapsed="false"/>
    <row r="3763" customFormat="false" ht="15" hidden="false" customHeight="false" outlineLevel="0" collapsed="false"/>
    <row r="3764" customFormat="false" ht="15" hidden="false" customHeight="false" outlineLevel="0" collapsed="false"/>
    <row r="3765" customFormat="false" ht="15" hidden="false" customHeight="false" outlineLevel="0" collapsed="false"/>
    <row r="3766" customFormat="false" ht="15" hidden="false" customHeight="false" outlineLevel="0" collapsed="false"/>
    <row r="3767" customFormat="false" ht="15" hidden="false" customHeight="false" outlineLevel="0" collapsed="false"/>
    <row r="3768" customFormat="false" ht="15" hidden="false" customHeight="false" outlineLevel="0" collapsed="false"/>
    <row r="3769" customFormat="false" ht="15" hidden="false" customHeight="false" outlineLevel="0" collapsed="false"/>
    <row r="3770" customFormat="false" ht="15" hidden="false" customHeight="false" outlineLevel="0" collapsed="false"/>
    <row r="3771" customFormat="false" ht="15" hidden="false" customHeight="false" outlineLevel="0" collapsed="false"/>
    <row r="3772" customFormat="false" ht="15" hidden="false" customHeight="false" outlineLevel="0" collapsed="false"/>
    <row r="3773" customFormat="false" ht="15" hidden="false" customHeight="false" outlineLevel="0" collapsed="false"/>
    <row r="3774" customFormat="false" ht="15" hidden="false" customHeight="false" outlineLevel="0" collapsed="false"/>
    <row r="3775" customFormat="false" ht="15" hidden="false" customHeight="false" outlineLevel="0" collapsed="false"/>
    <row r="3776" customFormat="false" ht="15" hidden="false" customHeight="false" outlineLevel="0" collapsed="false"/>
    <row r="3777" customFormat="false" ht="15" hidden="false" customHeight="false" outlineLevel="0" collapsed="false"/>
    <row r="3778" customFormat="false" ht="15" hidden="false" customHeight="false" outlineLevel="0" collapsed="false"/>
    <row r="3779" customFormat="false" ht="15" hidden="false" customHeight="false" outlineLevel="0" collapsed="false"/>
    <row r="3780" customFormat="false" ht="15" hidden="false" customHeight="false" outlineLevel="0" collapsed="false"/>
    <row r="3781" customFormat="false" ht="15" hidden="false" customHeight="false" outlineLevel="0" collapsed="false"/>
    <row r="3782" customFormat="false" ht="15" hidden="false" customHeight="false" outlineLevel="0" collapsed="false"/>
    <row r="3783" customFormat="false" ht="15" hidden="false" customHeight="false" outlineLevel="0" collapsed="false"/>
    <row r="3784" customFormat="false" ht="15" hidden="false" customHeight="false" outlineLevel="0" collapsed="false"/>
    <row r="3785" customFormat="false" ht="15" hidden="false" customHeight="false" outlineLevel="0" collapsed="false"/>
    <row r="3786" customFormat="false" ht="15" hidden="false" customHeight="false" outlineLevel="0" collapsed="false"/>
    <row r="3787" customFormat="false" ht="15" hidden="false" customHeight="false" outlineLevel="0" collapsed="false"/>
    <row r="3788" customFormat="false" ht="15" hidden="false" customHeight="false" outlineLevel="0" collapsed="false"/>
    <row r="3789" customFormat="false" ht="15" hidden="false" customHeight="false" outlineLevel="0" collapsed="false"/>
    <row r="3790" customFormat="false" ht="15" hidden="false" customHeight="false" outlineLevel="0" collapsed="false"/>
    <row r="3791" customFormat="false" ht="15" hidden="false" customHeight="false" outlineLevel="0" collapsed="false"/>
    <row r="3792" customFormat="false" ht="15" hidden="false" customHeight="false" outlineLevel="0" collapsed="false"/>
    <row r="3793" customFormat="false" ht="15" hidden="false" customHeight="false" outlineLevel="0" collapsed="false"/>
    <row r="3794" customFormat="false" ht="15" hidden="false" customHeight="false" outlineLevel="0" collapsed="false"/>
    <row r="3795" customFormat="false" ht="15" hidden="false" customHeight="false" outlineLevel="0" collapsed="false"/>
    <row r="3796" customFormat="false" ht="15" hidden="false" customHeight="false" outlineLevel="0" collapsed="false"/>
    <row r="3797" customFormat="false" ht="15" hidden="false" customHeight="false" outlineLevel="0" collapsed="false"/>
    <row r="3798" customFormat="false" ht="15" hidden="false" customHeight="false" outlineLevel="0" collapsed="false"/>
    <row r="3799" customFormat="false" ht="15" hidden="false" customHeight="false" outlineLevel="0" collapsed="false"/>
    <row r="3800" customFormat="false" ht="15" hidden="false" customHeight="false" outlineLevel="0" collapsed="false"/>
    <row r="3801" customFormat="false" ht="15" hidden="false" customHeight="false" outlineLevel="0" collapsed="false"/>
    <row r="3802" customFormat="false" ht="15" hidden="false" customHeight="false" outlineLevel="0" collapsed="false"/>
    <row r="3803" customFormat="false" ht="15" hidden="false" customHeight="false" outlineLevel="0" collapsed="false"/>
    <row r="3804" customFormat="false" ht="15" hidden="false" customHeight="false" outlineLevel="0" collapsed="false"/>
    <row r="3805" customFormat="false" ht="15" hidden="false" customHeight="false" outlineLevel="0" collapsed="false"/>
    <row r="3806" customFormat="false" ht="15" hidden="false" customHeight="false" outlineLevel="0" collapsed="false"/>
    <row r="3807" customFormat="false" ht="15" hidden="false" customHeight="false" outlineLevel="0" collapsed="false"/>
    <row r="3808" customFormat="false" ht="15" hidden="false" customHeight="false" outlineLevel="0" collapsed="false"/>
    <row r="3809" customFormat="false" ht="15" hidden="false" customHeight="false" outlineLevel="0" collapsed="false"/>
    <row r="3810" customFormat="false" ht="15" hidden="false" customHeight="false" outlineLevel="0" collapsed="false"/>
    <row r="3811" customFormat="false" ht="15" hidden="false" customHeight="false" outlineLevel="0" collapsed="false"/>
    <row r="3812" customFormat="false" ht="15" hidden="false" customHeight="false" outlineLevel="0" collapsed="false"/>
    <row r="3813" customFormat="false" ht="15" hidden="false" customHeight="false" outlineLevel="0" collapsed="false"/>
    <row r="3814" customFormat="false" ht="15" hidden="false" customHeight="false" outlineLevel="0" collapsed="false"/>
    <row r="3815" customFormat="false" ht="15" hidden="false" customHeight="false" outlineLevel="0" collapsed="false"/>
    <row r="3816" customFormat="false" ht="15" hidden="false" customHeight="false" outlineLevel="0" collapsed="false"/>
    <row r="3817" customFormat="false" ht="15" hidden="false" customHeight="false" outlineLevel="0" collapsed="false"/>
    <row r="3818" customFormat="false" ht="15" hidden="false" customHeight="false" outlineLevel="0" collapsed="false"/>
    <row r="3819" customFormat="false" ht="15" hidden="false" customHeight="false" outlineLevel="0" collapsed="false"/>
    <row r="3820" customFormat="false" ht="15" hidden="false" customHeight="false" outlineLevel="0" collapsed="false"/>
    <row r="3821" customFormat="false" ht="15" hidden="false" customHeight="false" outlineLevel="0" collapsed="false"/>
    <row r="3822" customFormat="false" ht="15" hidden="false" customHeight="false" outlineLevel="0" collapsed="false"/>
    <row r="3823" customFormat="false" ht="15" hidden="false" customHeight="false" outlineLevel="0" collapsed="false"/>
    <row r="3824" customFormat="false" ht="15" hidden="false" customHeight="false" outlineLevel="0" collapsed="false"/>
    <row r="3825" customFormat="false" ht="15" hidden="false" customHeight="false" outlineLevel="0" collapsed="false"/>
    <row r="3826" customFormat="false" ht="15" hidden="false" customHeight="false" outlineLevel="0" collapsed="false"/>
    <row r="3827" customFormat="false" ht="15" hidden="false" customHeight="false" outlineLevel="0" collapsed="false"/>
    <row r="3828" customFormat="false" ht="15" hidden="false" customHeight="false" outlineLevel="0" collapsed="false"/>
    <row r="3829" customFormat="false" ht="15" hidden="false" customHeight="false" outlineLevel="0" collapsed="false"/>
    <row r="3830" customFormat="false" ht="15" hidden="false" customHeight="false" outlineLevel="0" collapsed="false"/>
    <row r="3831" customFormat="false" ht="15" hidden="false" customHeight="false" outlineLevel="0" collapsed="false"/>
    <row r="3832" customFormat="false" ht="15" hidden="false" customHeight="false" outlineLevel="0" collapsed="false"/>
    <row r="3833" customFormat="false" ht="15" hidden="false" customHeight="false" outlineLevel="0" collapsed="false"/>
    <row r="3834" customFormat="false" ht="15" hidden="false" customHeight="false" outlineLevel="0" collapsed="false"/>
    <row r="3835" customFormat="false" ht="15" hidden="false" customHeight="false" outlineLevel="0" collapsed="false"/>
    <row r="3836" customFormat="false" ht="15" hidden="false" customHeight="false" outlineLevel="0" collapsed="false"/>
    <row r="3837" customFormat="false" ht="15" hidden="false" customHeight="false" outlineLevel="0" collapsed="false"/>
    <row r="3838" customFormat="false" ht="15" hidden="false" customHeight="false" outlineLevel="0" collapsed="false"/>
    <row r="3839" customFormat="false" ht="15" hidden="false" customHeight="false" outlineLevel="0" collapsed="false"/>
    <row r="3840" customFormat="false" ht="15" hidden="false" customHeight="false" outlineLevel="0" collapsed="false"/>
    <row r="3841" customFormat="false" ht="15" hidden="false" customHeight="false" outlineLevel="0" collapsed="false"/>
    <row r="3842" customFormat="false" ht="15" hidden="false" customHeight="false" outlineLevel="0" collapsed="false"/>
    <row r="3843" customFormat="false" ht="15" hidden="false" customHeight="false" outlineLevel="0" collapsed="false"/>
    <row r="3844" customFormat="false" ht="15" hidden="false" customHeight="false" outlineLevel="0" collapsed="false"/>
    <row r="3845" customFormat="false" ht="15" hidden="false" customHeight="false" outlineLevel="0" collapsed="false"/>
    <row r="3846" customFormat="false" ht="15" hidden="false" customHeight="false" outlineLevel="0" collapsed="false"/>
    <row r="3847" customFormat="false" ht="15" hidden="false" customHeight="false" outlineLevel="0" collapsed="false"/>
    <row r="3848" customFormat="false" ht="15" hidden="false" customHeight="false" outlineLevel="0" collapsed="false"/>
    <row r="3849" customFormat="false" ht="15" hidden="false" customHeight="false" outlineLevel="0" collapsed="false"/>
    <row r="3850" customFormat="false" ht="15" hidden="false" customHeight="false" outlineLevel="0" collapsed="false"/>
    <row r="3851" customFormat="false" ht="15" hidden="false" customHeight="false" outlineLevel="0" collapsed="false"/>
    <row r="3852" customFormat="false" ht="15" hidden="false" customHeight="false" outlineLevel="0" collapsed="false"/>
    <row r="3853" customFormat="false" ht="15" hidden="false" customHeight="false" outlineLevel="0" collapsed="false"/>
    <row r="3854" customFormat="false" ht="15" hidden="false" customHeight="false" outlineLevel="0" collapsed="false"/>
    <row r="3855" customFormat="false" ht="15" hidden="false" customHeight="false" outlineLevel="0" collapsed="false"/>
    <row r="3856" customFormat="false" ht="15" hidden="false" customHeight="false" outlineLevel="0" collapsed="false"/>
    <row r="3857" customFormat="false" ht="15" hidden="false" customHeight="false" outlineLevel="0" collapsed="false"/>
    <row r="3858" customFormat="false" ht="15" hidden="false" customHeight="false" outlineLevel="0" collapsed="false"/>
    <row r="3859" customFormat="false" ht="15" hidden="false" customHeight="false" outlineLevel="0" collapsed="false"/>
    <row r="3860" customFormat="false" ht="15" hidden="false" customHeight="false" outlineLevel="0" collapsed="false"/>
    <row r="3861" customFormat="false" ht="15" hidden="false" customHeight="false" outlineLevel="0" collapsed="false"/>
    <row r="3862" customFormat="false" ht="15" hidden="false" customHeight="false" outlineLevel="0" collapsed="false"/>
    <row r="3863" customFormat="false" ht="15" hidden="false" customHeight="false" outlineLevel="0" collapsed="false"/>
    <row r="3864" customFormat="false" ht="15" hidden="false" customHeight="false" outlineLevel="0" collapsed="false"/>
    <row r="3865" customFormat="false" ht="15" hidden="false" customHeight="false" outlineLevel="0" collapsed="false"/>
    <row r="3866" customFormat="false" ht="15" hidden="false" customHeight="false" outlineLevel="0" collapsed="false"/>
    <row r="3867" customFormat="false" ht="15" hidden="false" customHeight="false" outlineLevel="0" collapsed="false"/>
    <row r="3868" customFormat="false" ht="15" hidden="false" customHeight="false" outlineLevel="0" collapsed="false"/>
    <row r="3869" customFormat="false" ht="15" hidden="false" customHeight="false" outlineLevel="0" collapsed="false"/>
    <row r="3870" customFormat="false" ht="15" hidden="false" customHeight="false" outlineLevel="0" collapsed="false"/>
    <row r="3871" customFormat="false" ht="15" hidden="false" customHeight="false" outlineLevel="0" collapsed="false"/>
    <row r="3872" customFormat="false" ht="15" hidden="false" customHeight="false" outlineLevel="0" collapsed="false"/>
    <row r="3873" customFormat="false" ht="15" hidden="false" customHeight="false" outlineLevel="0" collapsed="false"/>
    <row r="3874" customFormat="false" ht="15" hidden="false" customHeight="false" outlineLevel="0" collapsed="false"/>
    <row r="3875" customFormat="false" ht="15" hidden="false" customHeight="false" outlineLevel="0" collapsed="false"/>
    <row r="3876" customFormat="false" ht="15" hidden="false" customHeight="false" outlineLevel="0" collapsed="false"/>
    <row r="3877" customFormat="false" ht="15" hidden="false" customHeight="false" outlineLevel="0" collapsed="false"/>
    <row r="3878" customFormat="false" ht="15" hidden="false" customHeight="false" outlineLevel="0" collapsed="false"/>
    <row r="3879" customFormat="false" ht="15" hidden="false" customHeight="false" outlineLevel="0" collapsed="false"/>
    <row r="3880" customFormat="false" ht="15" hidden="false" customHeight="false" outlineLevel="0" collapsed="false"/>
    <row r="3881" customFormat="false" ht="15" hidden="false" customHeight="false" outlineLevel="0" collapsed="false"/>
    <row r="3882" customFormat="false" ht="15" hidden="false" customHeight="false" outlineLevel="0" collapsed="false"/>
    <row r="3883" customFormat="false" ht="15" hidden="false" customHeight="false" outlineLevel="0" collapsed="false"/>
    <row r="3884" customFormat="false" ht="15" hidden="false" customHeight="false" outlineLevel="0" collapsed="false"/>
    <row r="3885" customFormat="false" ht="15" hidden="false" customHeight="false" outlineLevel="0" collapsed="false"/>
    <row r="3886" customFormat="false" ht="15" hidden="false" customHeight="false" outlineLevel="0" collapsed="false"/>
    <row r="3887" customFormat="false" ht="15" hidden="false" customHeight="false" outlineLevel="0" collapsed="false"/>
    <row r="3888" customFormat="false" ht="15" hidden="false" customHeight="false" outlineLevel="0" collapsed="false"/>
    <row r="3889" customFormat="false" ht="15" hidden="false" customHeight="false" outlineLevel="0" collapsed="false"/>
    <row r="3890" customFormat="false" ht="15" hidden="false" customHeight="false" outlineLevel="0" collapsed="false"/>
    <row r="3891" customFormat="false" ht="15" hidden="false" customHeight="false" outlineLevel="0" collapsed="false"/>
    <row r="3892" customFormat="false" ht="15" hidden="false" customHeight="false" outlineLevel="0" collapsed="false"/>
    <row r="3893" customFormat="false" ht="15" hidden="false" customHeight="false" outlineLevel="0" collapsed="false"/>
    <row r="3894" customFormat="false" ht="15" hidden="false" customHeight="false" outlineLevel="0" collapsed="false"/>
    <row r="3895" customFormat="false" ht="15" hidden="false" customHeight="false" outlineLevel="0" collapsed="false"/>
    <row r="3896" customFormat="false" ht="15" hidden="false" customHeight="false" outlineLevel="0" collapsed="false"/>
    <row r="3897" customFormat="false" ht="15" hidden="false" customHeight="false" outlineLevel="0" collapsed="false"/>
    <row r="3898" customFormat="false" ht="15" hidden="false" customHeight="false" outlineLevel="0" collapsed="false"/>
    <row r="3899" customFormat="false" ht="15" hidden="false" customHeight="false" outlineLevel="0" collapsed="false"/>
    <row r="3900" customFormat="false" ht="15" hidden="false" customHeight="false" outlineLevel="0" collapsed="false"/>
    <row r="3901" customFormat="false" ht="15" hidden="false" customHeight="false" outlineLevel="0" collapsed="false"/>
    <row r="3902" customFormat="false" ht="15" hidden="false" customHeight="false" outlineLevel="0" collapsed="false"/>
    <row r="3903" customFormat="false" ht="15" hidden="false" customHeight="false" outlineLevel="0" collapsed="false"/>
    <row r="3904" customFormat="false" ht="15" hidden="false" customHeight="false" outlineLevel="0" collapsed="false"/>
    <row r="3905" customFormat="false" ht="15" hidden="false" customHeight="false" outlineLevel="0" collapsed="false"/>
    <row r="3906" customFormat="false" ht="15" hidden="false" customHeight="false" outlineLevel="0" collapsed="false"/>
    <row r="3907" customFormat="false" ht="15" hidden="false" customHeight="false" outlineLevel="0" collapsed="false"/>
    <row r="3908" customFormat="false" ht="15" hidden="false" customHeight="false" outlineLevel="0" collapsed="false"/>
    <row r="3909" customFormat="false" ht="15" hidden="false" customHeight="false" outlineLevel="0" collapsed="false"/>
    <row r="3910" customFormat="false" ht="15" hidden="false" customHeight="false" outlineLevel="0" collapsed="false"/>
    <row r="3911" customFormat="false" ht="15" hidden="false" customHeight="false" outlineLevel="0" collapsed="false"/>
    <row r="3912" customFormat="false" ht="15" hidden="false" customHeight="false" outlineLevel="0" collapsed="false"/>
    <row r="3913" customFormat="false" ht="15" hidden="false" customHeight="false" outlineLevel="0" collapsed="false"/>
    <row r="3914" customFormat="false" ht="15" hidden="false" customHeight="false" outlineLevel="0" collapsed="false"/>
    <row r="3915" customFormat="false" ht="15" hidden="false" customHeight="false" outlineLevel="0" collapsed="false"/>
    <row r="3916" customFormat="false" ht="15" hidden="false" customHeight="false" outlineLevel="0" collapsed="false"/>
    <row r="3917" customFormat="false" ht="15" hidden="false" customHeight="false" outlineLevel="0" collapsed="false"/>
    <row r="3918" customFormat="false" ht="15" hidden="false" customHeight="false" outlineLevel="0" collapsed="false"/>
    <row r="3919" customFormat="false" ht="15" hidden="false" customHeight="false" outlineLevel="0" collapsed="false"/>
    <row r="3920" customFormat="false" ht="15" hidden="false" customHeight="false" outlineLevel="0" collapsed="false"/>
    <row r="3921" customFormat="false" ht="15" hidden="false" customHeight="false" outlineLevel="0" collapsed="false"/>
    <row r="3922" customFormat="false" ht="15" hidden="false" customHeight="false" outlineLevel="0" collapsed="false"/>
    <row r="3923" customFormat="false" ht="15" hidden="false" customHeight="false" outlineLevel="0" collapsed="false"/>
    <row r="3924" customFormat="false" ht="15" hidden="false" customHeight="false" outlineLevel="0" collapsed="false"/>
    <row r="3925" customFormat="false" ht="15" hidden="false" customHeight="false" outlineLevel="0" collapsed="false"/>
    <row r="3926" customFormat="false" ht="15" hidden="false" customHeight="false" outlineLevel="0" collapsed="false"/>
    <row r="3927" customFormat="false" ht="15" hidden="false" customHeight="false" outlineLevel="0" collapsed="false"/>
    <row r="3928" customFormat="false" ht="15" hidden="false" customHeight="false" outlineLevel="0" collapsed="false"/>
    <row r="3929" customFormat="false" ht="15" hidden="false" customHeight="false" outlineLevel="0" collapsed="false"/>
    <row r="3930" customFormat="false" ht="15" hidden="false" customHeight="false" outlineLevel="0" collapsed="false"/>
    <row r="3931" customFormat="false" ht="15" hidden="false" customHeight="false" outlineLevel="0" collapsed="false"/>
    <row r="3932" customFormat="false" ht="15" hidden="false" customHeight="false" outlineLevel="0" collapsed="false"/>
    <row r="3933" customFormat="false" ht="15" hidden="false" customHeight="false" outlineLevel="0" collapsed="false"/>
    <row r="3934" customFormat="false" ht="15" hidden="false" customHeight="false" outlineLevel="0" collapsed="false"/>
    <row r="3935" customFormat="false" ht="15" hidden="false" customHeight="false" outlineLevel="0" collapsed="false"/>
    <row r="3936" customFormat="false" ht="15" hidden="false" customHeight="false" outlineLevel="0" collapsed="false"/>
    <row r="3937" customFormat="false" ht="15" hidden="false" customHeight="false" outlineLevel="0" collapsed="false"/>
    <row r="3938" customFormat="false" ht="15" hidden="false" customHeight="false" outlineLevel="0" collapsed="false"/>
    <row r="3939" customFormat="false" ht="15" hidden="false" customHeight="false" outlineLevel="0" collapsed="false"/>
    <row r="3940" customFormat="false" ht="15" hidden="false" customHeight="false" outlineLevel="0" collapsed="false"/>
    <row r="3941" customFormat="false" ht="15" hidden="false" customHeight="false" outlineLevel="0" collapsed="false"/>
    <row r="3942" customFormat="false" ht="15" hidden="false" customHeight="false" outlineLevel="0" collapsed="false"/>
    <row r="3943" customFormat="false" ht="15" hidden="false" customHeight="false" outlineLevel="0" collapsed="false"/>
    <row r="3944" customFormat="false" ht="15" hidden="false" customHeight="false" outlineLevel="0" collapsed="false"/>
    <row r="3945" customFormat="false" ht="15" hidden="false" customHeight="false" outlineLevel="0" collapsed="false"/>
    <row r="3946" customFormat="false" ht="15" hidden="false" customHeight="false" outlineLevel="0" collapsed="false"/>
    <row r="3947" customFormat="false" ht="15" hidden="false" customHeight="false" outlineLevel="0" collapsed="false"/>
    <row r="3948" customFormat="false" ht="15" hidden="false" customHeight="false" outlineLevel="0" collapsed="false"/>
    <row r="3949" customFormat="false" ht="15" hidden="false" customHeight="false" outlineLevel="0" collapsed="false"/>
    <row r="3950" customFormat="false" ht="15" hidden="false" customHeight="false" outlineLevel="0" collapsed="false"/>
    <row r="3951" customFormat="false" ht="15" hidden="false" customHeight="false" outlineLevel="0" collapsed="false"/>
    <row r="3952" customFormat="false" ht="15" hidden="false" customHeight="false" outlineLevel="0" collapsed="false"/>
    <row r="3953" customFormat="false" ht="15" hidden="false" customHeight="false" outlineLevel="0" collapsed="false"/>
    <row r="3954" customFormat="false" ht="15" hidden="false" customHeight="false" outlineLevel="0" collapsed="false"/>
    <row r="3955" customFormat="false" ht="15" hidden="false" customHeight="false" outlineLevel="0" collapsed="false"/>
    <row r="3956" customFormat="false" ht="15" hidden="false" customHeight="false" outlineLevel="0" collapsed="false"/>
    <row r="3957" customFormat="false" ht="15" hidden="false" customHeight="false" outlineLevel="0" collapsed="false"/>
    <row r="3958" customFormat="false" ht="15" hidden="false" customHeight="false" outlineLevel="0" collapsed="false"/>
    <row r="3959" customFormat="false" ht="15" hidden="false" customHeight="false" outlineLevel="0" collapsed="false"/>
    <row r="3960" customFormat="false" ht="15" hidden="false" customHeight="false" outlineLevel="0" collapsed="false"/>
    <row r="3961" customFormat="false" ht="15" hidden="false" customHeight="false" outlineLevel="0" collapsed="false"/>
    <row r="3962" customFormat="false" ht="15" hidden="false" customHeight="false" outlineLevel="0" collapsed="false"/>
    <row r="3963" customFormat="false" ht="15" hidden="false" customHeight="false" outlineLevel="0" collapsed="false"/>
    <row r="3964" customFormat="false" ht="15" hidden="false" customHeight="false" outlineLevel="0" collapsed="false"/>
    <row r="3965" customFormat="false" ht="15" hidden="false" customHeight="false" outlineLevel="0" collapsed="false"/>
    <row r="3966" customFormat="false" ht="15" hidden="false" customHeight="false" outlineLevel="0" collapsed="false"/>
    <row r="3967" customFormat="false" ht="15" hidden="false" customHeight="false" outlineLevel="0" collapsed="false"/>
    <row r="3968" customFormat="false" ht="15" hidden="false" customHeight="false" outlineLevel="0" collapsed="false"/>
    <row r="3969" customFormat="false" ht="15" hidden="false" customHeight="false" outlineLevel="0" collapsed="false"/>
    <row r="3970" customFormat="false" ht="15" hidden="false" customHeight="false" outlineLevel="0" collapsed="false"/>
    <row r="3971" customFormat="false" ht="15" hidden="false" customHeight="false" outlineLevel="0" collapsed="false"/>
    <row r="3972" customFormat="false" ht="15" hidden="false" customHeight="false" outlineLevel="0" collapsed="false"/>
    <row r="3973" customFormat="false" ht="15" hidden="false" customHeight="false" outlineLevel="0" collapsed="false"/>
    <row r="3974" customFormat="false" ht="15" hidden="false" customHeight="false" outlineLevel="0" collapsed="false"/>
    <row r="3975" customFormat="false" ht="15" hidden="false" customHeight="false" outlineLevel="0" collapsed="false"/>
    <row r="3976" customFormat="false" ht="15" hidden="false" customHeight="false" outlineLevel="0" collapsed="false"/>
    <row r="3977" customFormat="false" ht="15" hidden="false" customHeight="false" outlineLevel="0" collapsed="false"/>
    <row r="3978" customFormat="false" ht="15" hidden="false" customHeight="false" outlineLevel="0" collapsed="false"/>
    <row r="3979" customFormat="false" ht="15" hidden="false" customHeight="false" outlineLevel="0" collapsed="false"/>
    <row r="3980" customFormat="false" ht="15" hidden="false" customHeight="false" outlineLevel="0" collapsed="false"/>
    <row r="3981" customFormat="false" ht="15" hidden="false" customHeight="false" outlineLevel="0" collapsed="false"/>
    <row r="3982" customFormat="false" ht="15" hidden="false" customHeight="false" outlineLevel="0" collapsed="false"/>
    <row r="3983" customFormat="false" ht="15" hidden="false" customHeight="false" outlineLevel="0" collapsed="false"/>
    <row r="3984" customFormat="false" ht="15" hidden="false" customHeight="false" outlineLevel="0" collapsed="false"/>
    <row r="3985" customFormat="false" ht="15" hidden="false" customHeight="false" outlineLevel="0" collapsed="false"/>
    <row r="3986" customFormat="false" ht="15" hidden="false" customHeight="false" outlineLevel="0" collapsed="false"/>
    <row r="3987" customFormat="false" ht="15" hidden="false" customHeight="false" outlineLevel="0" collapsed="false"/>
    <row r="3988" customFormat="false" ht="15" hidden="false" customHeight="false" outlineLevel="0" collapsed="false"/>
    <row r="3989" customFormat="false" ht="15" hidden="false" customHeight="false" outlineLevel="0" collapsed="false"/>
    <row r="3990" customFormat="false" ht="15" hidden="false" customHeight="false" outlineLevel="0" collapsed="false"/>
    <row r="3991" customFormat="false" ht="15" hidden="false" customHeight="false" outlineLevel="0" collapsed="false"/>
    <row r="3992" customFormat="false" ht="15" hidden="false" customHeight="false" outlineLevel="0" collapsed="false"/>
    <row r="3993" customFormat="false" ht="15" hidden="false" customHeight="false" outlineLevel="0" collapsed="false"/>
    <row r="3994" customFormat="false" ht="15" hidden="false" customHeight="false" outlineLevel="0" collapsed="false"/>
    <row r="3995" customFormat="false" ht="15" hidden="false" customHeight="false" outlineLevel="0" collapsed="false"/>
    <row r="3996" customFormat="false" ht="15" hidden="false" customHeight="false" outlineLevel="0" collapsed="false"/>
    <row r="3997" customFormat="false" ht="15" hidden="false" customHeight="false" outlineLevel="0" collapsed="false"/>
    <row r="3998" customFormat="false" ht="15" hidden="false" customHeight="false" outlineLevel="0" collapsed="false"/>
    <row r="3999" customFormat="false" ht="15" hidden="false" customHeight="false" outlineLevel="0" collapsed="false"/>
    <row r="4000" customFormat="false" ht="15" hidden="false" customHeight="false" outlineLevel="0" collapsed="false"/>
    <row r="4001" customFormat="false" ht="15" hidden="false" customHeight="false" outlineLevel="0" collapsed="false"/>
    <row r="4002" customFormat="false" ht="15" hidden="false" customHeight="false" outlineLevel="0" collapsed="false"/>
    <row r="4003" customFormat="false" ht="15" hidden="false" customHeight="false" outlineLevel="0" collapsed="false"/>
    <row r="4004" customFormat="false" ht="15" hidden="false" customHeight="false" outlineLevel="0" collapsed="false"/>
    <row r="4005" customFormat="false" ht="15" hidden="false" customHeight="false" outlineLevel="0" collapsed="false"/>
    <row r="4006" customFormat="false" ht="15" hidden="false" customHeight="false" outlineLevel="0" collapsed="false"/>
    <row r="4007" customFormat="false" ht="15" hidden="false" customHeight="false" outlineLevel="0" collapsed="false"/>
    <row r="4008" customFormat="false" ht="15" hidden="false" customHeight="false" outlineLevel="0" collapsed="false"/>
    <row r="4009" customFormat="false" ht="15" hidden="false" customHeight="false" outlineLevel="0" collapsed="false"/>
    <row r="4010" customFormat="false" ht="15" hidden="false" customHeight="false" outlineLevel="0" collapsed="false"/>
    <row r="4011" customFormat="false" ht="15" hidden="false" customHeight="false" outlineLevel="0" collapsed="false"/>
    <row r="4012" customFormat="false" ht="15" hidden="false" customHeight="false" outlineLevel="0" collapsed="false"/>
    <row r="4013" customFormat="false" ht="15" hidden="false" customHeight="false" outlineLevel="0" collapsed="false"/>
    <row r="4014" customFormat="false" ht="15" hidden="false" customHeight="false" outlineLevel="0" collapsed="false"/>
    <row r="4015" customFormat="false" ht="15" hidden="false" customHeight="false" outlineLevel="0" collapsed="false"/>
    <row r="4016" customFormat="false" ht="15" hidden="false" customHeight="false" outlineLevel="0" collapsed="false"/>
    <row r="4017" customFormat="false" ht="15" hidden="false" customHeight="false" outlineLevel="0" collapsed="false"/>
    <row r="4018" customFormat="false" ht="15" hidden="false" customHeight="false" outlineLevel="0" collapsed="false"/>
    <row r="4019" customFormat="false" ht="15" hidden="false" customHeight="false" outlineLevel="0" collapsed="false"/>
    <row r="4020" customFormat="false" ht="15" hidden="false" customHeight="false" outlineLevel="0" collapsed="false"/>
    <row r="4021" customFormat="false" ht="15" hidden="false" customHeight="false" outlineLevel="0" collapsed="false"/>
    <row r="4022" customFormat="false" ht="15" hidden="false" customHeight="false" outlineLevel="0" collapsed="false"/>
    <row r="4023" customFormat="false" ht="15" hidden="false" customHeight="false" outlineLevel="0" collapsed="false"/>
    <row r="4024" customFormat="false" ht="15" hidden="false" customHeight="false" outlineLevel="0" collapsed="false"/>
    <row r="4025" customFormat="false" ht="15" hidden="false" customHeight="false" outlineLevel="0" collapsed="false"/>
    <row r="4026" customFormat="false" ht="15" hidden="false" customHeight="false" outlineLevel="0" collapsed="false"/>
    <row r="4027" customFormat="false" ht="15" hidden="false" customHeight="false" outlineLevel="0" collapsed="false"/>
    <row r="4028" customFormat="false" ht="15" hidden="false" customHeight="false" outlineLevel="0" collapsed="false"/>
    <row r="4029" customFormat="false" ht="15" hidden="false" customHeight="false" outlineLevel="0" collapsed="false"/>
    <row r="4030" customFormat="false" ht="15" hidden="false" customHeight="false" outlineLevel="0" collapsed="false"/>
    <row r="4031" customFormat="false" ht="15" hidden="false" customHeight="false" outlineLevel="0" collapsed="false"/>
    <row r="4032" customFormat="false" ht="15" hidden="false" customHeight="false" outlineLevel="0" collapsed="false"/>
    <row r="4033" customFormat="false" ht="15" hidden="false" customHeight="false" outlineLevel="0" collapsed="false"/>
    <row r="4034" customFormat="false" ht="15" hidden="false" customHeight="false" outlineLevel="0" collapsed="false"/>
    <row r="4035" customFormat="false" ht="15" hidden="false" customHeight="false" outlineLevel="0" collapsed="false"/>
    <row r="4036" customFormat="false" ht="15" hidden="false" customHeight="false" outlineLevel="0" collapsed="false"/>
    <row r="4037" customFormat="false" ht="15" hidden="false" customHeight="false" outlineLevel="0" collapsed="false"/>
    <row r="4038" customFormat="false" ht="15" hidden="false" customHeight="false" outlineLevel="0" collapsed="false"/>
    <row r="4039" customFormat="false" ht="15" hidden="false" customHeight="false" outlineLevel="0" collapsed="false"/>
    <row r="4040" customFormat="false" ht="15" hidden="false" customHeight="false" outlineLevel="0" collapsed="false"/>
    <row r="4041" customFormat="false" ht="15" hidden="false" customHeight="false" outlineLevel="0" collapsed="false"/>
    <row r="4042" customFormat="false" ht="15" hidden="false" customHeight="false" outlineLevel="0" collapsed="false"/>
    <row r="4043" customFormat="false" ht="15" hidden="false" customHeight="false" outlineLevel="0" collapsed="false"/>
    <row r="4044" customFormat="false" ht="15" hidden="false" customHeight="false" outlineLevel="0" collapsed="false"/>
    <row r="4045" customFormat="false" ht="15" hidden="false" customHeight="false" outlineLevel="0" collapsed="false"/>
    <row r="4046" customFormat="false" ht="15" hidden="false" customHeight="false" outlineLevel="0" collapsed="false"/>
    <row r="4047" customFormat="false" ht="15" hidden="false" customHeight="false" outlineLevel="0" collapsed="false"/>
    <row r="4048" customFormat="false" ht="15" hidden="false" customHeight="false" outlineLevel="0" collapsed="false"/>
    <row r="4049" customFormat="false" ht="15" hidden="false" customHeight="false" outlineLevel="0" collapsed="false"/>
    <row r="4050" customFormat="false" ht="15" hidden="false" customHeight="false" outlineLevel="0" collapsed="false"/>
    <row r="4051" customFormat="false" ht="15" hidden="false" customHeight="false" outlineLevel="0" collapsed="false"/>
    <row r="4052" customFormat="false" ht="15" hidden="false" customHeight="false" outlineLevel="0" collapsed="false"/>
    <row r="4053" customFormat="false" ht="15" hidden="false" customHeight="false" outlineLevel="0" collapsed="false"/>
    <row r="4054" customFormat="false" ht="15" hidden="false" customHeight="false" outlineLevel="0" collapsed="false"/>
    <row r="4055" customFormat="false" ht="15" hidden="false" customHeight="false" outlineLevel="0" collapsed="false"/>
    <row r="4056" customFormat="false" ht="15" hidden="false" customHeight="false" outlineLevel="0" collapsed="false"/>
    <row r="4057" customFormat="false" ht="15" hidden="false" customHeight="false" outlineLevel="0" collapsed="false"/>
    <row r="4058" customFormat="false" ht="15" hidden="false" customHeight="false" outlineLevel="0" collapsed="false"/>
    <row r="4059" customFormat="false" ht="15" hidden="false" customHeight="false" outlineLevel="0" collapsed="false"/>
    <row r="4060" customFormat="false" ht="15" hidden="false" customHeight="false" outlineLevel="0" collapsed="false"/>
    <row r="4061" customFormat="false" ht="15" hidden="false" customHeight="false" outlineLevel="0" collapsed="false"/>
    <row r="4062" customFormat="false" ht="15" hidden="false" customHeight="false" outlineLevel="0" collapsed="false"/>
    <row r="4063" customFormat="false" ht="15" hidden="false" customHeight="false" outlineLevel="0" collapsed="false"/>
    <row r="4064" customFormat="false" ht="15" hidden="false" customHeight="false" outlineLevel="0" collapsed="false"/>
    <row r="4065" customFormat="false" ht="15" hidden="false" customHeight="false" outlineLevel="0" collapsed="false"/>
    <row r="4066" customFormat="false" ht="15" hidden="false" customHeight="false" outlineLevel="0" collapsed="false"/>
    <row r="4067" customFormat="false" ht="15" hidden="false" customHeight="false" outlineLevel="0" collapsed="false"/>
    <row r="4068" customFormat="false" ht="15" hidden="false" customHeight="false" outlineLevel="0" collapsed="false"/>
    <row r="4069" customFormat="false" ht="15" hidden="false" customHeight="false" outlineLevel="0" collapsed="false"/>
    <row r="4070" customFormat="false" ht="15" hidden="false" customHeight="false" outlineLevel="0" collapsed="false"/>
    <row r="4071" customFormat="false" ht="15" hidden="false" customHeight="false" outlineLevel="0" collapsed="false"/>
    <row r="4072" customFormat="false" ht="15" hidden="false" customHeight="false" outlineLevel="0" collapsed="false"/>
    <row r="4073" customFormat="false" ht="15" hidden="false" customHeight="false" outlineLevel="0" collapsed="false"/>
    <row r="4074" customFormat="false" ht="15" hidden="false" customHeight="false" outlineLevel="0" collapsed="false"/>
    <row r="4075" customFormat="false" ht="15" hidden="false" customHeight="false" outlineLevel="0" collapsed="false"/>
    <row r="4076" customFormat="false" ht="15" hidden="false" customHeight="false" outlineLevel="0" collapsed="false"/>
    <row r="4077" customFormat="false" ht="15" hidden="false" customHeight="false" outlineLevel="0" collapsed="false"/>
    <row r="4078" customFormat="false" ht="15" hidden="false" customHeight="false" outlineLevel="0" collapsed="false"/>
    <row r="4079" customFormat="false" ht="15" hidden="false" customHeight="false" outlineLevel="0" collapsed="false"/>
    <row r="4080" customFormat="false" ht="15" hidden="false" customHeight="false" outlineLevel="0" collapsed="false"/>
    <row r="4081" customFormat="false" ht="15" hidden="false" customHeight="false" outlineLevel="0" collapsed="false"/>
    <row r="4082" customFormat="false" ht="15" hidden="false" customHeight="false" outlineLevel="0" collapsed="false"/>
    <row r="4083" customFormat="false" ht="15" hidden="false" customHeight="false" outlineLevel="0" collapsed="false"/>
    <row r="4084" customFormat="false" ht="15" hidden="false" customHeight="false" outlineLevel="0" collapsed="false"/>
    <row r="4085" customFormat="false" ht="15" hidden="false" customHeight="false" outlineLevel="0" collapsed="false"/>
    <row r="4086" customFormat="false" ht="15" hidden="false" customHeight="false" outlineLevel="0" collapsed="false"/>
    <row r="4087" customFormat="false" ht="15" hidden="false" customHeight="false" outlineLevel="0" collapsed="false"/>
    <row r="4088" customFormat="false" ht="15" hidden="false" customHeight="false" outlineLevel="0" collapsed="false"/>
    <row r="4089" customFormat="false" ht="15" hidden="false" customHeight="false" outlineLevel="0" collapsed="false"/>
    <row r="4090" customFormat="false" ht="15" hidden="false" customHeight="false" outlineLevel="0" collapsed="false"/>
    <row r="4091" customFormat="false" ht="15" hidden="false" customHeight="false" outlineLevel="0" collapsed="false"/>
    <row r="4092" customFormat="false" ht="15" hidden="false" customHeight="false" outlineLevel="0" collapsed="false"/>
    <row r="4093" customFormat="false" ht="15" hidden="false" customHeight="false" outlineLevel="0" collapsed="false"/>
    <row r="4094" customFormat="false" ht="15" hidden="false" customHeight="false" outlineLevel="0" collapsed="false"/>
    <row r="4095" customFormat="false" ht="15" hidden="false" customHeight="false" outlineLevel="0" collapsed="false"/>
    <row r="4096" customFormat="false" ht="15" hidden="false" customHeight="false" outlineLevel="0" collapsed="false"/>
    <row r="4097" customFormat="false" ht="15" hidden="false" customHeight="false" outlineLevel="0" collapsed="false"/>
    <row r="4098" customFormat="false" ht="15" hidden="false" customHeight="false" outlineLevel="0" collapsed="false"/>
    <row r="4099" customFormat="false" ht="15" hidden="false" customHeight="false" outlineLevel="0" collapsed="false"/>
    <row r="4100" customFormat="false" ht="15" hidden="false" customHeight="false" outlineLevel="0" collapsed="false"/>
    <row r="4101" customFormat="false" ht="15" hidden="false" customHeight="false" outlineLevel="0" collapsed="false"/>
    <row r="4102" customFormat="false" ht="15" hidden="false" customHeight="false" outlineLevel="0" collapsed="false"/>
    <row r="4103" customFormat="false" ht="15" hidden="false" customHeight="false" outlineLevel="0" collapsed="false"/>
    <row r="4104" customFormat="false" ht="15" hidden="false" customHeight="false" outlineLevel="0" collapsed="false"/>
    <row r="4105" customFormat="false" ht="15" hidden="false" customHeight="false" outlineLevel="0" collapsed="false"/>
    <row r="4106" customFormat="false" ht="15" hidden="false" customHeight="false" outlineLevel="0" collapsed="false"/>
    <row r="4107" customFormat="false" ht="15" hidden="false" customHeight="false" outlineLevel="0" collapsed="false"/>
    <row r="4108" customFormat="false" ht="15" hidden="false" customHeight="false" outlineLevel="0" collapsed="false"/>
    <row r="4109" customFormat="false" ht="15" hidden="false" customHeight="false" outlineLevel="0" collapsed="false"/>
    <row r="4110" customFormat="false" ht="15" hidden="false" customHeight="false" outlineLevel="0" collapsed="false"/>
    <row r="4111" customFormat="false" ht="15" hidden="false" customHeight="false" outlineLevel="0" collapsed="false"/>
    <row r="4112" customFormat="false" ht="15" hidden="false" customHeight="false" outlineLevel="0" collapsed="false"/>
    <row r="4113" customFormat="false" ht="15" hidden="false" customHeight="false" outlineLevel="0" collapsed="false"/>
    <row r="4114" customFormat="false" ht="15" hidden="false" customHeight="false" outlineLevel="0" collapsed="false"/>
    <row r="4115" customFormat="false" ht="15" hidden="false" customHeight="false" outlineLevel="0" collapsed="false"/>
    <row r="4116" customFormat="false" ht="15" hidden="false" customHeight="false" outlineLevel="0" collapsed="false"/>
    <row r="4117" customFormat="false" ht="15" hidden="false" customHeight="false" outlineLevel="0" collapsed="false"/>
    <row r="4118" customFormat="false" ht="15" hidden="false" customHeight="false" outlineLevel="0" collapsed="false"/>
    <row r="4119" customFormat="false" ht="15" hidden="false" customHeight="false" outlineLevel="0" collapsed="false"/>
    <row r="4120" customFormat="false" ht="15" hidden="false" customHeight="false" outlineLevel="0" collapsed="false"/>
    <row r="4121" customFormat="false" ht="15" hidden="false" customHeight="false" outlineLevel="0" collapsed="false"/>
    <row r="4122" customFormat="false" ht="15" hidden="false" customHeight="false" outlineLevel="0" collapsed="false"/>
    <row r="4123" customFormat="false" ht="15" hidden="false" customHeight="false" outlineLevel="0" collapsed="false"/>
    <row r="4124" customFormat="false" ht="15" hidden="false" customHeight="false" outlineLevel="0" collapsed="false"/>
    <row r="4125" customFormat="false" ht="15" hidden="false" customHeight="false" outlineLevel="0" collapsed="false"/>
    <row r="4126" customFormat="false" ht="15" hidden="false" customHeight="false" outlineLevel="0" collapsed="false"/>
    <row r="4127" customFormat="false" ht="15" hidden="false" customHeight="false" outlineLevel="0" collapsed="false"/>
    <row r="4128" customFormat="false" ht="15" hidden="false" customHeight="false" outlineLevel="0" collapsed="false"/>
    <row r="4129" customFormat="false" ht="15" hidden="false" customHeight="false" outlineLevel="0" collapsed="false"/>
    <row r="4130" customFormat="false" ht="15" hidden="false" customHeight="false" outlineLevel="0" collapsed="false"/>
    <row r="4131" customFormat="false" ht="15" hidden="false" customHeight="false" outlineLevel="0" collapsed="false"/>
    <row r="4132" customFormat="false" ht="15" hidden="false" customHeight="false" outlineLevel="0" collapsed="false"/>
    <row r="4133" customFormat="false" ht="15" hidden="false" customHeight="false" outlineLevel="0" collapsed="false"/>
    <row r="4134" customFormat="false" ht="15" hidden="false" customHeight="false" outlineLevel="0" collapsed="false"/>
    <row r="4135" customFormat="false" ht="15" hidden="false" customHeight="false" outlineLevel="0" collapsed="false"/>
    <row r="4136" customFormat="false" ht="15" hidden="false" customHeight="false" outlineLevel="0" collapsed="false"/>
    <row r="4137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9.3359375" defaultRowHeight="12.75" customHeight="true" zeroHeight="false" outlineLevelRow="0" outlineLevelCol="0"/>
  <cols>
    <col collapsed="false" customWidth="true" hidden="false" outlineLevel="0" max="1" min="1" style="1" width="19.33"/>
    <col collapsed="false" customWidth="true" hidden="false" outlineLevel="0" max="2" min="2" style="1" width="11.83"/>
    <col collapsed="false" customWidth="true" hidden="false" outlineLevel="0" max="3" min="3" style="1" width="10.83"/>
    <col collapsed="false" customWidth="true" hidden="false" outlineLevel="0" max="4" min="4" style="1" width="16.33"/>
    <col collapsed="false" customWidth="true" hidden="false" outlineLevel="0" max="6" min="6" style="1" width="16.33"/>
    <col collapsed="false" customWidth="true" hidden="false" outlineLevel="0" max="7" min="7" style="1" width="11.83"/>
    <col collapsed="false" customWidth="true" hidden="false" outlineLevel="0" max="8" min="8" style="1" width="10.66"/>
    <col collapsed="false" customWidth="true" hidden="false" outlineLevel="0" max="12" min="12" style="1" width="12.33"/>
    <col collapsed="false" customWidth="true" hidden="false" outlineLevel="0" max="13" min="13" style="1" width="12"/>
    <col collapsed="false" customWidth="true" hidden="false" outlineLevel="0" max="269" min="14" style="2" width="8.67"/>
  </cols>
  <sheetData>
    <row r="1" customFormat="false" ht="13.8" hidden="false" customHeight="false" outlineLevel="0" collapsed="false">
      <c r="A1" s="2" t="s">
        <v>84</v>
      </c>
      <c r="B1" s="2" t="n">
        <v>17</v>
      </c>
      <c r="C1" s="2"/>
      <c r="D1" s="2"/>
      <c r="E1" s="2"/>
      <c r="F1" s="3" t="s">
        <v>85</v>
      </c>
      <c r="G1" s="2" t="s">
        <v>86</v>
      </c>
      <c r="H1" s="2" t="s">
        <v>87</v>
      </c>
      <c r="I1" s="2"/>
      <c r="J1" s="2"/>
      <c r="K1" s="2"/>
      <c r="L1" s="2" t="s">
        <v>88</v>
      </c>
      <c r="M1" s="51" t="str">
        <f aca="false">G3</f>
        <v>38900</v>
      </c>
    </row>
    <row r="2" customFormat="false" ht="13.8" hidden="false" customHeight="false" outlineLevel="0" collapsed="false">
      <c r="A2" s="2"/>
      <c r="B2" s="2"/>
      <c r="C2" s="2"/>
      <c r="D2" s="2"/>
      <c r="E2" s="2"/>
      <c r="F2" s="2" t="s">
        <v>89</v>
      </c>
      <c r="G2" s="2"/>
      <c r="H2" s="51" t="s">
        <v>90</v>
      </c>
      <c r="I2" s="2"/>
      <c r="J2" s="2"/>
      <c r="K2" s="2"/>
      <c r="L2" s="2"/>
      <c r="M2" s="2"/>
    </row>
    <row r="3" customFormat="false" ht="13.8" hidden="false" customHeight="false" outlineLevel="0" collapsed="false">
      <c r="A3" s="2"/>
      <c r="B3" s="3" t="s">
        <v>86</v>
      </c>
      <c r="C3" s="3" t="s">
        <v>87</v>
      </c>
      <c r="D3" s="2"/>
      <c r="E3" s="2"/>
      <c r="F3" s="2" t="s">
        <v>91</v>
      </c>
      <c r="G3" s="51" t="s">
        <v>92</v>
      </c>
      <c r="H3" s="51" t="n">
        <f aca="false">G3/B1</f>
        <v>2288.23529411765</v>
      </c>
      <c r="I3" s="2"/>
      <c r="J3" s="2"/>
      <c r="K3" s="2"/>
      <c r="L3" s="2" t="s">
        <v>93</v>
      </c>
      <c r="M3" s="51" t="s">
        <v>94</v>
      </c>
    </row>
    <row r="4" customFormat="false" ht="13.8" hidden="false" customHeight="false" outlineLevel="0" collapsed="false">
      <c r="A4" s="2" t="s">
        <v>95</v>
      </c>
      <c r="B4" s="51" t="s">
        <v>96</v>
      </c>
      <c r="C4" s="51" t="n">
        <f aca="false">B4/B1</f>
        <v>130.882352941176</v>
      </c>
      <c r="D4" s="2"/>
      <c r="E4" s="2"/>
      <c r="F4" s="2"/>
      <c r="G4" s="2"/>
      <c r="H4" s="2"/>
      <c r="I4" s="2"/>
      <c r="J4" s="2"/>
      <c r="K4" s="2"/>
      <c r="L4" s="2" t="s">
        <v>97</v>
      </c>
      <c r="M4" s="51" t="s">
        <v>98</v>
      </c>
    </row>
    <row r="5" customFormat="false" ht="13.8" hidden="false" customHeight="false" outlineLevel="0" collapsed="false">
      <c r="A5" s="2" t="s">
        <v>99</v>
      </c>
      <c r="B5" s="2"/>
      <c r="C5" s="51" t="s">
        <v>100</v>
      </c>
      <c r="D5" s="2"/>
      <c r="E5" s="2"/>
      <c r="F5" s="2" t="s">
        <v>101</v>
      </c>
      <c r="G5" s="2"/>
      <c r="H5" s="2" t="n">
        <f aca="false">H2/SUM(H2:H3)</f>
        <v>1.92287917737789</v>
      </c>
      <c r="I5" s="2"/>
      <c r="J5" s="2"/>
      <c r="K5" s="2"/>
      <c r="L5" s="2" t="s">
        <v>95</v>
      </c>
      <c r="M5" s="51" t="str">
        <f aca="false">B4</f>
        <v>2225</v>
      </c>
    </row>
    <row r="6" customFormat="false" ht="13.8" hidden="false" customHeight="false" outlineLevel="0" collapsed="false">
      <c r="A6" s="2"/>
      <c r="B6" s="2"/>
      <c r="C6" s="51"/>
      <c r="D6" s="2"/>
      <c r="E6" s="2"/>
      <c r="F6" s="2"/>
      <c r="G6" s="2"/>
      <c r="H6" s="2"/>
      <c r="I6" s="2"/>
      <c r="J6" s="2"/>
      <c r="K6" s="2"/>
      <c r="L6" s="2" t="s">
        <v>102</v>
      </c>
      <c r="M6" s="51" t="s">
        <v>103</v>
      </c>
    </row>
    <row r="7" customFormat="false" ht="13.8" hidden="false" customHeight="false" outlineLevel="0" collapsed="false">
      <c r="A7" s="3" t="s">
        <v>38</v>
      </c>
      <c r="B7" s="3"/>
      <c r="C7" s="52" t="n">
        <f aca="false">SUM(C4:C5)</f>
        <v>130.882352941176</v>
      </c>
      <c r="D7" s="2"/>
      <c r="E7" s="2"/>
      <c r="F7" s="2"/>
      <c r="G7" s="2"/>
      <c r="H7" s="2"/>
      <c r="I7" s="2"/>
      <c r="J7" s="2"/>
      <c r="K7" s="2"/>
      <c r="L7" s="2" t="s">
        <v>104</v>
      </c>
      <c r="M7" s="51" t="n">
        <f aca="false">B13</f>
        <v>-4278.40616966581</v>
      </c>
    </row>
    <row r="8" customFormat="false" ht="13.8" hidden="false" customHeight="false" outlineLevel="0" collapsed="false">
      <c r="A8" s="3"/>
      <c r="B8" s="3"/>
      <c r="C8" s="52"/>
      <c r="D8" s="2"/>
      <c r="E8" s="2"/>
      <c r="F8" s="2"/>
      <c r="G8" s="2"/>
      <c r="H8" s="2"/>
      <c r="I8" s="2"/>
      <c r="J8" s="2"/>
      <c r="K8" s="2"/>
      <c r="L8" s="2"/>
      <c r="M8" s="2"/>
    </row>
    <row r="9" customFormat="false" ht="13.8" hidden="false" customHeight="false" outlineLevel="0" collapsed="false">
      <c r="A9" s="2"/>
      <c r="B9" s="2"/>
      <c r="C9" s="51"/>
      <c r="D9" s="2"/>
      <c r="E9" s="2"/>
      <c r="F9" s="2"/>
      <c r="G9" s="2"/>
      <c r="H9" s="2"/>
      <c r="I9" s="2"/>
      <c r="J9" s="2"/>
      <c r="K9" s="2"/>
      <c r="L9" s="2"/>
      <c r="M9" s="51" t="n">
        <f aca="false">M1-SUM(M3:M7)</f>
        <v>43178.4061696658</v>
      </c>
      <c r="N9" s="51" t="n">
        <f aca="false">M9/B1</f>
        <v>2539.90624527446</v>
      </c>
    </row>
    <row r="10" customFormat="false" ht="13.8" hidden="false" customHeight="false" outlineLevel="0" collapsed="false">
      <c r="A10" s="2" t="s">
        <v>104</v>
      </c>
      <c r="B10" s="2"/>
      <c r="C10" s="51" t="n">
        <f aca="false">C7*H5</f>
        <v>251.670951156812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1" customFormat="false" ht="13.8" hidden="false" customHeight="false" outlineLevel="0" collapsed="false">
      <c r="A11" s="2" t="s">
        <v>105</v>
      </c>
      <c r="B11" s="2"/>
      <c r="C11" s="51" t="n">
        <f aca="false">C7-C10</f>
        <v>-120.788598215636</v>
      </c>
      <c r="D11" s="2"/>
      <c r="E11" s="2"/>
      <c r="F11" s="2"/>
      <c r="G11" s="2"/>
      <c r="H11" s="2"/>
      <c r="I11" s="2"/>
      <c r="J11" s="2"/>
      <c r="K11" s="2"/>
      <c r="L11" s="2"/>
      <c r="M11" s="2"/>
    </row>
    <row r="12" customFormat="false" ht="13.8" hidden="false" customHeight="false" outlineLevel="0" collapsed="false">
      <c r="A12" s="2"/>
      <c r="B12" s="2"/>
      <c r="C12" s="51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customFormat="false" ht="13.8" hidden="false" customHeight="false" outlineLevel="0" collapsed="false">
      <c r="A13" s="2" t="s">
        <v>106</v>
      </c>
      <c r="B13" s="51" t="n">
        <f aca="false">C13*B1</f>
        <v>-4278.40616966581</v>
      </c>
      <c r="C13" s="51" t="n">
        <f aca="false">C11-C4</f>
        <v>-251.670951156812</v>
      </c>
      <c r="D13" s="2" t="s">
        <v>107</v>
      </c>
      <c r="E13" s="2"/>
      <c r="F13" s="2"/>
      <c r="G13" s="2"/>
      <c r="H13" s="2"/>
      <c r="I13" s="2"/>
      <c r="J13" s="2"/>
      <c r="K13" s="2"/>
      <c r="L13" s="2"/>
      <c r="M13" s="2"/>
    </row>
    <row r="14" customFormat="false" ht="13.8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customFormat="false" ht="13.8" hidden="false" customHeight="false" outlineLevel="0" collapsed="false">
      <c r="A15" s="3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customFormat="false" ht="13.8" hidden="false" customHeight="false" outlineLevel="0" collapsed="false">
      <c r="A16" s="2" t="s">
        <v>109</v>
      </c>
      <c r="B16" s="2" t="n">
        <v>3</v>
      </c>
      <c r="C16" s="51" t="n">
        <f aca="false">B16*C13</f>
        <v>-755.012853470437</v>
      </c>
      <c r="D16" s="2"/>
      <c r="E16" s="2"/>
      <c r="F16" s="2"/>
      <c r="G16" s="2"/>
      <c r="H16" s="2"/>
      <c r="I16" s="2"/>
      <c r="J16" s="2"/>
      <c r="K16" s="2"/>
      <c r="L16" s="2"/>
      <c r="M16" s="2"/>
    </row>
    <row r="17" customFormat="false" ht="13.8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customFormat="false" ht="13.8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customFormat="false" ht="13.8" hidden="false" customHeight="false" outlineLevel="0" collapsed="false">
      <c r="A19" s="3" t="s">
        <v>110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customFormat="false" ht="13.8" hidden="false" customHeight="false" outlineLevel="0" collapsed="false">
      <c r="A20" s="2" t="s">
        <v>111</v>
      </c>
      <c r="B20" s="2"/>
      <c r="C20" s="51" t="s">
        <v>112</v>
      </c>
      <c r="D20" s="2" t="s">
        <v>113</v>
      </c>
      <c r="E20" s="2"/>
      <c r="F20" s="2"/>
      <c r="G20" s="2"/>
      <c r="H20" s="2"/>
      <c r="I20" s="2"/>
      <c r="J20" s="2"/>
      <c r="K20" s="2"/>
      <c r="L20" s="2"/>
      <c r="M20" s="2"/>
    </row>
    <row r="21" customFormat="false" ht="13.8" hidden="false" customHeight="false" outlineLevel="0" collapsed="false">
      <c r="A21" s="2" t="s">
        <v>114</v>
      </c>
      <c r="B21" s="53" t="n">
        <f aca="false">G21*E21</f>
        <v>3440</v>
      </c>
      <c r="C21" s="51" t="n">
        <f aca="false">B21/B1</f>
        <v>202.352941176471</v>
      </c>
      <c r="D21" s="2"/>
      <c r="E21" s="2" t="n">
        <v>8</v>
      </c>
      <c r="F21" s="2" t="s">
        <v>115</v>
      </c>
      <c r="G21" s="53" t="n">
        <v>430</v>
      </c>
      <c r="H21" s="2" t="s">
        <v>116</v>
      </c>
      <c r="I21" s="2"/>
      <c r="J21" s="2"/>
      <c r="K21" s="2"/>
      <c r="L21" s="2"/>
      <c r="M21" s="2"/>
    </row>
    <row r="22" customFormat="false" ht="13.8" hidden="false" customHeight="false" outlineLevel="0" collapsed="false">
      <c r="A22" s="2" t="s">
        <v>117</v>
      </c>
      <c r="B22" s="2"/>
      <c r="C22" s="51" t="s">
        <v>118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customFormat="false" ht="13.8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customFormat="false" ht="13.8" hidden="false" customHeight="false" outlineLevel="0" collapsed="false">
      <c r="A24" s="2" t="s">
        <v>119</v>
      </c>
      <c r="B24" s="2"/>
      <c r="C24" s="51" t="n">
        <f aca="false">SUM(C20:C23)</f>
        <v>202.352941176471</v>
      </c>
      <c r="D24" s="2"/>
      <c r="E24" s="2"/>
      <c r="F24" s="2"/>
      <c r="G24" s="2"/>
      <c r="H24" s="2"/>
      <c r="I24" s="2"/>
      <c r="J24" s="2"/>
      <c r="K24" s="2"/>
      <c r="L24" s="2"/>
      <c r="M24" s="2"/>
    </row>
    <row r="25" customFormat="false" ht="13.8" hidden="false" customHeight="false" outlineLevel="0" collapsed="false">
      <c r="A25" s="2" t="s">
        <v>120</v>
      </c>
      <c r="B25" s="2"/>
      <c r="C25" s="51" t="n">
        <f aca="false">C24/2</f>
        <v>101.176470588235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customFormat="false" ht="13.8" hidden="false" customHeight="fals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customFormat="false" ht="13.8" hidden="false" customHeight="false" outlineLevel="0" collapsed="false">
      <c r="A27" s="2" t="s">
        <v>121</v>
      </c>
      <c r="B27" s="51" t="n">
        <f aca="false">C27*B1</f>
        <v>-14555.2185089974</v>
      </c>
      <c r="C27" s="51" t="n">
        <f aca="false">C16-C25</f>
        <v>-856.189324058672</v>
      </c>
      <c r="D27" s="2"/>
      <c r="E27" s="2"/>
      <c r="F27" s="2"/>
      <c r="G27" s="2"/>
      <c r="H27" s="2"/>
      <c r="I27" s="2"/>
      <c r="J27" s="2"/>
      <c r="K27" s="2"/>
      <c r="L27" s="2"/>
      <c r="M27" s="2"/>
    </row>
    <row r="28" customFormat="false" ht="13.8" hidden="false" customHeight="false" outlineLevel="0" collapsed="false">
      <c r="A28" s="2"/>
      <c r="B28" s="51" t="n">
        <f aca="false">B27/B16</f>
        <v>-4851.73950299914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customFormat="false" ht="1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customFormat="false" ht="1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customFormat="false" ht="1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customFormat="false" ht="1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customFormat="false" ht="1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customFormat="false" ht="1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customFormat="false" ht="1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customFormat="false" ht="1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customFormat="false" ht="1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customFormat="false" ht="1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customFormat="false" ht="1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customFormat="false" ht="1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customFormat="false" ht="1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customFormat="false" ht="1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customFormat="false" ht="1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customFormat="false" ht="1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customFormat="false" ht="1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customFormat="false" ht="1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customFormat="false" ht="1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customFormat="false" ht="1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customFormat="false" ht="1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customFormat="false" ht="1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customFormat="false" ht="1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customFormat="false" ht="1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customFormat="false" ht="1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customFormat="false" ht="1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customFormat="false" ht="1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customFormat="false" ht="1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customFormat="false" ht="1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customFormat="false" ht="1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customFormat="false" ht="1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customFormat="false" ht="1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customFormat="false" ht="1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customFormat="false" ht="1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customFormat="false" ht="1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customFormat="false" ht="1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customFormat="false" ht="1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customFormat="false" ht="1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customFormat="false" ht="1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customFormat="false" ht="1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customFormat="false" ht="1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customFormat="false" ht="1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customFormat="false" ht="1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customFormat="false" ht="1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customFormat="false" ht="1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customFormat="false" ht="1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customFormat="false" ht="1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customFormat="false" ht="1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customFormat="false" ht="1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customFormat="false" ht="1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customFormat="false" ht="1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customFormat="false" ht="1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customFormat="false" ht="1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customFormat="false" ht="1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customFormat="false" ht="1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customFormat="false" ht="1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customFormat="false" ht="1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customFormat="false" ht="1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customFormat="false" ht="1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customFormat="false" ht="1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customFormat="false" ht="1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customFormat="false" ht="1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customFormat="false" ht="1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customFormat="false" ht="1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customFormat="false" ht="1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customFormat="false" ht="1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customFormat="false" ht="1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customFormat="false" ht="1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customFormat="false" ht="1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customFormat="false" ht="1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customFormat="false" ht="1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customFormat="false" ht="1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customFormat="false" ht="1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customFormat="false" ht="1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customFormat="false" ht="1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customFormat="false" ht="1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customFormat="false" ht="1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customFormat="false" ht="1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customFormat="false" ht="1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customFormat="false" ht="1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customFormat="false" ht="1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customFormat="false" ht="1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customFormat="false" ht="1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customFormat="false" ht="1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customFormat="false" ht="1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customFormat="false" ht="1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customFormat="false" ht="1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customFormat="false" ht="1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customFormat="false" ht="1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customFormat="false" ht="1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customFormat="false" ht="1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customFormat="false" ht="1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customFormat="false" ht="1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customFormat="false" ht="1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customFormat="false" ht="1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customFormat="false" ht="1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customFormat="false" ht="1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customFormat="false" ht="1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customFormat="false" ht="1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customFormat="false" ht="1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customFormat="false" ht="1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customFormat="false" ht="1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customFormat="false" ht="1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customFormat="false" ht="1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customFormat="false" ht="1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customFormat="false" ht="1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customFormat="false" ht="1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customFormat="false" ht="1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customFormat="false" ht="1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customFormat="false" ht="1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customFormat="false" ht="1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customFormat="false" ht="1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customFormat="false" ht="1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customFormat="false" ht="1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customFormat="false" ht="1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customFormat="false" ht="1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customFormat="false" ht="1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customFormat="false" ht="1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customFormat="false" ht="1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customFormat="false" ht="1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customFormat="false" ht="1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customFormat="false" ht="1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customFormat="false" ht="1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customFormat="false" ht="1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customFormat="false" ht="1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customFormat="false" ht="1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customFormat="false" ht="1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customFormat="false" ht="1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customFormat="false" ht="1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customFormat="false" ht="1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customFormat="false" ht="1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customFormat="false" ht="1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customFormat="false" ht="1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customFormat="false" ht="1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customFormat="false" ht="1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customFormat="false" ht="1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customFormat="false" ht="1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customFormat="false" ht="1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customFormat="false" ht="1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customFormat="false" ht="1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customFormat="false" ht="1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customFormat="false" ht="1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customFormat="false" ht="1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customFormat="false" ht="1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customFormat="false" ht="1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customFormat="false" ht="1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customFormat="false" ht="1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customFormat="false" ht="1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customFormat="false" ht="1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customFormat="false" ht="1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customFormat="false" ht="1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customFormat="false" ht="1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customFormat="false" ht="1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customFormat="false" ht="1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customFormat="false" ht="1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customFormat="false" ht="1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customFormat="false" ht="1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customFormat="false" ht="1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customFormat="false" ht="1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customFormat="false" ht="1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customFormat="false" ht="1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customFormat="false" ht="1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customFormat="false" ht="1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customFormat="false" ht="1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customFormat="false" ht="1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customFormat="false" ht="1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customFormat="false" ht="1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customFormat="false" ht="1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customFormat="false" ht="1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customFormat="false" ht="1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customFormat="false" ht="1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customFormat="false" ht="1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customFormat="false" ht="1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customFormat="false" ht="1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customFormat="false" ht="1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customFormat="false" ht="1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customFormat="false" ht="1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customFormat="false" ht="1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customFormat="false" ht="1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customFormat="false" ht="1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customFormat="false" ht="1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customFormat="false" ht="1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customFormat="false" ht="1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customFormat="false" ht="1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customFormat="false" ht="1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customFormat="false" ht="1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customFormat="false" ht="1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customFormat="false" ht="1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customFormat="false" ht="1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customFormat="false" ht="1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customFormat="false" ht="1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customFormat="false" ht="1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customFormat="false" ht="1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customFormat="false" ht="1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customFormat="false" ht="1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customFormat="false" ht="1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customFormat="false" ht="1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customFormat="false" ht="1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customFormat="false" ht="1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customFormat="false" ht="1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customFormat="false" ht="1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customFormat="false" ht="1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customFormat="false" ht="1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customFormat="false" ht="1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customFormat="false" ht="1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customFormat="false" ht="1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customFormat="false" ht="1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customFormat="false" ht="1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customFormat="false" ht="1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customFormat="false" ht="1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customFormat="false" ht="1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customFormat="false" ht="1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customFormat="false" ht="1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customFormat="false" ht="1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customFormat="false" ht="1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customFormat="false" ht="1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customFormat="false" ht="1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customFormat="false" ht="1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customFormat="false" ht="1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customFormat="false" ht="1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customFormat="false" ht="1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customFormat="false" ht="1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customFormat="false" ht="1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customFormat="false" ht="1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customFormat="false" ht="1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customFormat="false" ht="1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customFormat="false" ht="1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customFormat="false" ht="1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customFormat="false" ht="1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customFormat="false" ht="1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customFormat="false" ht="1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customFormat="false" ht="1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customFormat="false" ht="1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customFormat="false" ht="1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customFormat="false" ht="1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customFormat="false" ht="1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customFormat="false" ht="1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customFormat="false" ht="1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customFormat="false" ht="1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customFormat="false" ht="1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customFormat="false" ht="1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customFormat="false" ht="1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customFormat="false" ht="1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customFormat="false" ht="1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customFormat="false" ht="1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customFormat="false" ht="1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customFormat="false" ht="1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customFormat="false" ht="1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customFormat="false" ht="1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customFormat="false" ht="1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customFormat="false" ht="1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customFormat="false" ht="1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customFormat="false" ht="1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customFormat="false" ht="1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customFormat="false" ht="1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customFormat="false" ht="1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customFormat="false" ht="1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customFormat="false" ht="1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customFormat="false" ht="1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customFormat="false" ht="1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customFormat="false" ht="1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customFormat="false" ht="1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customFormat="false" ht="1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customFormat="false" ht="1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customFormat="false" ht="1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customFormat="false" ht="1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customFormat="false" ht="1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customFormat="false" ht="1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customFormat="false" ht="1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customFormat="false" ht="1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customFormat="false" ht="1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customFormat="false" ht="1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customFormat="false" ht="1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customFormat="false" ht="1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customFormat="false" ht="1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customFormat="false" ht="1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customFormat="false" ht="1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customFormat="false" ht="1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customFormat="false" ht="1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customFormat="false" ht="1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customFormat="false" ht="1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customFormat="false" ht="1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customFormat="false" ht="1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customFormat="false" ht="1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customFormat="false" ht="1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customFormat="false" ht="1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customFormat="false" ht="1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customFormat="false" ht="1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customFormat="false" ht="1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customFormat="false" ht="1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customFormat="false" ht="1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customFormat="false" ht="1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customFormat="false" ht="1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customFormat="false" ht="1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customFormat="false" ht="1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customFormat="false" ht="1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customFormat="false" ht="1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customFormat="false" ht="1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customFormat="false" ht="1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customFormat="false" ht="1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customFormat="false" ht="1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customFormat="false" ht="1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customFormat="false" ht="1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customFormat="false" ht="1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customFormat="false" ht="1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customFormat="false" ht="1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customFormat="false" ht="1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customFormat="false" ht="1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customFormat="false" ht="1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customFormat="false" ht="1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customFormat="false" ht="1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customFormat="false" ht="1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customFormat="false" ht="1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customFormat="false" ht="1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customFormat="false" ht="1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customFormat="false" ht="1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customFormat="false" ht="1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customFormat="false" ht="1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customFormat="false" ht="1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customFormat="false" ht="1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customFormat="false" ht="1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customFormat="false" ht="1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customFormat="false" ht="1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customFormat="false" ht="1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customFormat="false" ht="1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customFormat="false" ht="1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customFormat="false" ht="1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customFormat="false" ht="1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customFormat="false" ht="1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customFormat="false" ht="1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customFormat="false" ht="1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customFormat="false" ht="1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customFormat="false" ht="1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customFormat="false" ht="1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customFormat="false" ht="1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customFormat="false" ht="1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customFormat="false" ht="1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customFormat="false" ht="1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customFormat="false" ht="1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customFormat="false" ht="1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customFormat="false" ht="1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customFormat="false" ht="1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customFormat="false" ht="1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customFormat="false" ht="1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customFormat="false" ht="1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customFormat="false" ht="1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customFormat="false" ht="1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customFormat="false" ht="1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customFormat="false" ht="1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customFormat="false" ht="1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customFormat="false" ht="1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customFormat="false" ht="1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customFormat="false" ht="1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customFormat="false" ht="1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customFormat="false" ht="1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customFormat="false" ht="1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customFormat="false" ht="1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customFormat="false" ht="1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customFormat="false" ht="1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customFormat="false" ht="1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customFormat="false" ht="1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customFormat="false" ht="1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customFormat="false" ht="1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customFormat="false" ht="1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customFormat="false" ht="1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customFormat="false" ht="1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customFormat="false" ht="1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customFormat="false" ht="1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customFormat="false" ht="1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customFormat="false" ht="1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customFormat="false" ht="1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customFormat="false" ht="1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customFormat="false" ht="1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customFormat="false" ht="1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customFormat="false" ht="1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customFormat="false" ht="1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customFormat="false" ht="1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customFormat="false" ht="1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customFormat="false" ht="1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customFormat="false" ht="1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customFormat="false" ht="1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customFormat="false" ht="1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customFormat="false" ht="1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customFormat="false" ht="1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customFormat="false" ht="1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customFormat="false" ht="1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customFormat="false" ht="1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customFormat="false" ht="1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customFormat="false" ht="1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customFormat="false" ht="1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customFormat="false" ht="1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customFormat="false" ht="1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customFormat="false" ht="1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customFormat="false" ht="1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customFormat="false" ht="1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customFormat="false" ht="1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customFormat="false" ht="1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customFormat="false" ht="1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customFormat="false" ht="1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customFormat="false" ht="1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customFormat="false" ht="1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customFormat="false" ht="1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customFormat="false" ht="1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customFormat="false" ht="1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customFormat="false" ht="1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customFormat="false" ht="1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customFormat="false" ht="1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customFormat="false" ht="1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customFormat="false" ht="1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customFormat="false" ht="1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customFormat="false" ht="1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customFormat="false" ht="1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customFormat="false" ht="1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customFormat="false" ht="1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customFormat="false" ht="1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customFormat="false" ht="1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customFormat="false" ht="1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customFormat="false" ht="1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customFormat="false" ht="1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customFormat="false" ht="1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customFormat="false" ht="1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customFormat="false" ht="1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customFormat="false" ht="1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customFormat="false" ht="1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customFormat="false" ht="1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customFormat="false" ht="1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customFormat="false" ht="1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customFormat="false" ht="1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customFormat="false" ht="1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customFormat="false" ht="1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customFormat="false" ht="1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customFormat="false" ht="1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customFormat="false" ht="1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customFormat="false" ht="1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customFormat="false" ht="1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customFormat="false" ht="1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customFormat="false" ht="1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customFormat="false" ht="1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customFormat="false" ht="1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customFormat="false" ht="1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customFormat="false" ht="1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customFormat="false" ht="1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customFormat="false" ht="1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customFormat="false" ht="1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customFormat="false" ht="1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customFormat="false" ht="1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customFormat="false" ht="1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customFormat="false" ht="1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customFormat="false" ht="1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customFormat="false" ht="1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customFormat="false" ht="1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customFormat="false" ht="1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customFormat="false" ht="1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customFormat="false" ht="1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customFormat="false" ht="1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customFormat="false" ht="1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customFormat="false" ht="1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customFormat="false" ht="1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customFormat="false" ht="1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customFormat="false" ht="1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customFormat="false" ht="1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customFormat="false" ht="1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customFormat="false" ht="1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customFormat="false" ht="1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customFormat="false" ht="1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customFormat="false" ht="1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customFormat="false" ht="1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customFormat="false" ht="1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customFormat="false" ht="1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customFormat="false" ht="1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customFormat="false" ht="1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customFormat="false" ht="1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customFormat="false" ht="1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customFormat="false" ht="1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customFormat="false" ht="1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customFormat="false" ht="1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customFormat="false" ht="1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customFormat="false" ht="1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customFormat="false" ht="1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customFormat="false" ht="1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customFormat="false" ht="1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customFormat="false" ht="1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customFormat="false" ht="1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customFormat="false" ht="1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customFormat="false" ht="1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customFormat="false" ht="1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customFormat="false" ht="1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customFormat="false" ht="1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customFormat="false" ht="1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customFormat="false" ht="1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customFormat="false" ht="1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customFormat="false" ht="1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customFormat="false" ht="1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customFormat="false" ht="1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customFormat="false" ht="1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customFormat="false" ht="1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customFormat="false" ht="1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customFormat="false" ht="1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customFormat="false" ht="1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customFormat="false" ht="1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customFormat="false" ht="1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customFormat="false" ht="1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customFormat="false" ht="1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customFormat="false" ht="15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customFormat="false" ht="15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customFormat="false" ht="15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customFormat="false" ht="15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customFormat="false" ht="15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customFormat="false" ht="15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customFormat="false" ht="15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customFormat="false" ht="15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customFormat="false" ht="15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customFormat="false" ht="15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customFormat="false" ht="15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customFormat="false" ht="15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customFormat="false" ht="15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customFormat="false" ht="15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customFormat="false" ht="15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customFormat="false" ht="15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customFormat="false" ht="15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customFormat="false" ht="15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customFormat="false" ht="15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customFormat="false" ht="15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customFormat="false" ht="15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customFormat="false" ht="15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customFormat="false" ht="15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customFormat="false" ht="15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customFormat="false" ht="15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customFormat="false" ht="15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customFormat="false" ht="15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customFormat="false" ht="15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customFormat="false" ht="15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customFormat="false" ht="15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customFormat="false" ht="15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customFormat="false" ht="15" hidden="false" customHeight="false" outlineLevel="0" collapsed="false"/>
    <row r="1030" customFormat="false" ht="15" hidden="false" customHeight="false" outlineLevel="0" collapsed="false"/>
    <row r="1031" customFormat="false" ht="15" hidden="false" customHeight="false" outlineLevel="0" collapsed="false"/>
    <row r="1032" customFormat="false" ht="15" hidden="false" customHeight="false" outlineLevel="0" collapsed="false"/>
    <row r="1033" customFormat="false" ht="15" hidden="false" customHeight="false" outlineLevel="0" collapsed="false"/>
    <row r="1034" customFormat="false" ht="15" hidden="false" customHeight="false" outlineLevel="0" collapsed="false"/>
    <row r="1035" customFormat="false" ht="15" hidden="false" customHeight="false" outlineLevel="0" collapsed="false"/>
    <row r="1036" customFormat="false" ht="15" hidden="false" customHeight="false" outlineLevel="0" collapsed="false"/>
    <row r="1037" customFormat="false" ht="15" hidden="false" customHeight="false" outlineLevel="0" collapsed="false"/>
    <row r="1038" customFormat="false" ht="15" hidden="false" customHeight="false" outlineLevel="0" collapsed="false"/>
    <row r="1039" customFormat="false" ht="15" hidden="false" customHeight="false" outlineLevel="0" collapsed="false"/>
    <row r="1040" customFormat="false" ht="15" hidden="false" customHeight="false" outlineLevel="0" collapsed="false"/>
    <row r="1041" customFormat="false" ht="15" hidden="false" customHeight="false" outlineLevel="0" collapsed="false"/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  <row r="1556" customFormat="false" ht="15" hidden="false" customHeight="false" outlineLevel="0" collapsed="false"/>
    <row r="1557" customFormat="false" ht="15" hidden="false" customHeight="false" outlineLevel="0" collapsed="false"/>
    <row r="1558" customFormat="false" ht="15" hidden="false" customHeight="false" outlineLevel="0" collapsed="false"/>
    <row r="1559" customFormat="false" ht="15" hidden="false" customHeight="false" outlineLevel="0" collapsed="false"/>
    <row r="1560" customFormat="false" ht="15" hidden="false" customHeight="false" outlineLevel="0" collapsed="false"/>
    <row r="1561" customFormat="false" ht="15" hidden="false" customHeight="false" outlineLevel="0" collapsed="false"/>
    <row r="1562" customFormat="false" ht="15" hidden="false" customHeight="false" outlineLevel="0" collapsed="false"/>
    <row r="1563" customFormat="false" ht="15" hidden="false" customHeight="false" outlineLevel="0" collapsed="false"/>
    <row r="1564" customFormat="false" ht="15" hidden="false" customHeight="false" outlineLevel="0" collapsed="false"/>
    <row r="1565" customFormat="false" ht="15" hidden="false" customHeight="false" outlineLevel="0" collapsed="false"/>
    <row r="1566" customFormat="false" ht="15" hidden="false" customHeight="false" outlineLevel="0" collapsed="false"/>
    <row r="1567" customFormat="false" ht="15" hidden="false" customHeight="false" outlineLevel="0" collapsed="false"/>
    <row r="1568" customFormat="false" ht="15" hidden="false" customHeight="false" outlineLevel="0" collapsed="false"/>
    <row r="1569" customFormat="false" ht="15" hidden="false" customHeight="false" outlineLevel="0" collapsed="false"/>
    <row r="1570" customFormat="false" ht="15" hidden="false" customHeight="false" outlineLevel="0" collapsed="false"/>
    <row r="1571" customFormat="false" ht="15" hidden="false" customHeight="false" outlineLevel="0" collapsed="false"/>
    <row r="1572" customFormat="false" ht="15" hidden="false" customHeight="false" outlineLevel="0" collapsed="false"/>
    <row r="1573" customFormat="false" ht="15" hidden="false" customHeight="false" outlineLevel="0" collapsed="false"/>
    <row r="1574" customFormat="false" ht="15" hidden="false" customHeight="false" outlineLevel="0" collapsed="false"/>
    <row r="1575" customFormat="false" ht="15" hidden="false" customHeight="false" outlineLevel="0" collapsed="false"/>
    <row r="1576" customFormat="false" ht="15" hidden="false" customHeight="false" outlineLevel="0" collapsed="false"/>
    <row r="1577" customFormat="false" ht="15" hidden="false" customHeight="false" outlineLevel="0" collapsed="false"/>
    <row r="1578" customFormat="false" ht="15" hidden="false" customHeight="false" outlineLevel="0" collapsed="false"/>
    <row r="1579" customFormat="false" ht="15" hidden="false" customHeight="false" outlineLevel="0" collapsed="false"/>
    <row r="1580" customFormat="false" ht="15" hidden="false" customHeight="false" outlineLevel="0" collapsed="false"/>
    <row r="1581" customFormat="false" ht="15" hidden="false" customHeight="false" outlineLevel="0" collapsed="false"/>
    <row r="1582" customFormat="false" ht="15" hidden="false" customHeight="false" outlineLevel="0" collapsed="false"/>
    <row r="1583" customFormat="false" ht="15" hidden="false" customHeight="false" outlineLevel="0" collapsed="false"/>
    <row r="1584" customFormat="false" ht="15" hidden="false" customHeight="false" outlineLevel="0" collapsed="false"/>
    <row r="1585" customFormat="false" ht="15" hidden="false" customHeight="false" outlineLevel="0" collapsed="false"/>
    <row r="1586" customFormat="false" ht="15" hidden="false" customHeight="false" outlineLevel="0" collapsed="false"/>
    <row r="1587" customFormat="false" ht="15" hidden="false" customHeight="false" outlineLevel="0" collapsed="false"/>
    <row r="1588" customFormat="false" ht="15" hidden="false" customHeight="false" outlineLevel="0" collapsed="false"/>
    <row r="1589" customFormat="false" ht="15" hidden="false" customHeight="false" outlineLevel="0" collapsed="false"/>
    <row r="1590" customFormat="false" ht="15" hidden="false" customHeight="false" outlineLevel="0" collapsed="false"/>
    <row r="1591" customFormat="false" ht="15" hidden="false" customHeight="false" outlineLevel="0" collapsed="false"/>
    <row r="1592" customFormat="false" ht="15" hidden="false" customHeight="false" outlineLevel="0" collapsed="false"/>
    <row r="1593" customFormat="false" ht="15" hidden="false" customHeight="false" outlineLevel="0" collapsed="false"/>
    <row r="1594" customFormat="false" ht="15" hidden="false" customHeight="false" outlineLevel="0" collapsed="false"/>
    <row r="1595" customFormat="false" ht="15" hidden="false" customHeight="false" outlineLevel="0" collapsed="false"/>
    <row r="1596" customFormat="false" ht="15" hidden="false" customHeight="false" outlineLevel="0" collapsed="false"/>
    <row r="1597" customFormat="false" ht="15" hidden="false" customHeight="false" outlineLevel="0" collapsed="false"/>
    <row r="1598" customFormat="false" ht="15" hidden="false" customHeight="false" outlineLevel="0" collapsed="false"/>
    <row r="1599" customFormat="false" ht="15" hidden="false" customHeight="false" outlineLevel="0" collapsed="false"/>
    <row r="1600" customFormat="false" ht="15" hidden="false" customHeight="false" outlineLevel="0" collapsed="false"/>
    <row r="1601" customFormat="false" ht="15" hidden="false" customHeight="false" outlineLevel="0" collapsed="false"/>
    <row r="1602" customFormat="false" ht="15" hidden="false" customHeight="false" outlineLevel="0" collapsed="false"/>
    <row r="1603" customFormat="false" ht="15" hidden="false" customHeight="false" outlineLevel="0" collapsed="false"/>
    <row r="1604" customFormat="false" ht="15" hidden="false" customHeight="false" outlineLevel="0" collapsed="false"/>
    <row r="1605" customFormat="false" ht="15" hidden="false" customHeight="false" outlineLevel="0" collapsed="false"/>
    <row r="1606" customFormat="false" ht="15" hidden="false" customHeight="false" outlineLevel="0" collapsed="false"/>
    <row r="1607" customFormat="false" ht="15" hidden="false" customHeight="false" outlineLevel="0" collapsed="false"/>
    <row r="1608" customFormat="false" ht="15" hidden="false" customHeight="false" outlineLevel="0" collapsed="false"/>
    <row r="1609" customFormat="false" ht="15" hidden="false" customHeight="false" outlineLevel="0" collapsed="false"/>
    <row r="1610" customFormat="false" ht="15" hidden="false" customHeight="false" outlineLevel="0" collapsed="false"/>
    <row r="1611" customFormat="false" ht="15" hidden="false" customHeight="false" outlineLevel="0" collapsed="false"/>
    <row r="1612" customFormat="false" ht="15" hidden="false" customHeight="false" outlineLevel="0" collapsed="false"/>
    <row r="1613" customFormat="false" ht="15" hidden="false" customHeight="false" outlineLevel="0" collapsed="false"/>
    <row r="1614" customFormat="false" ht="15" hidden="false" customHeight="false" outlineLevel="0" collapsed="false"/>
    <row r="1615" customFormat="false" ht="15" hidden="false" customHeight="false" outlineLevel="0" collapsed="false"/>
    <row r="1616" customFormat="false" ht="15" hidden="false" customHeight="false" outlineLevel="0" collapsed="false"/>
    <row r="1617" customFormat="false" ht="15" hidden="false" customHeight="false" outlineLevel="0" collapsed="false"/>
    <row r="1618" customFormat="false" ht="15" hidden="false" customHeight="false" outlineLevel="0" collapsed="false"/>
    <row r="1619" customFormat="false" ht="15" hidden="false" customHeight="false" outlineLevel="0" collapsed="false"/>
    <row r="1620" customFormat="false" ht="15" hidden="false" customHeight="false" outlineLevel="0" collapsed="false"/>
    <row r="1621" customFormat="false" ht="15" hidden="false" customHeight="false" outlineLevel="0" collapsed="false"/>
    <row r="1622" customFormat="false" ht="15" hidden="false" customHeight="false" outlineLevel="0" collapsed="false"/>
    <row r="1623" customFormat="false" ht="15" hidden="false" customHeight="false" outlineLevel="0" collapsed="false"/>
    <row r="1624" customFormat="false" ht="15" hidden="false" customHeight="false" outlineLevel="0" collapsed="false"/>
    <row r="1625" customFormat="false" ht="15" hidden="false" customHeight="false" outlineLevel="0" collapsed="false"/>
    <row r="1626" customFormat="false" ht="15" hidden="false" customHeight="false" outlineLevel="0" collapsed="false"/>
    <row r="1627" customFormat="false" ht="15" hidden="false" customHeight="false" outlineLevel="0" collapsed="false"/>
    <row r="1628" customFormat="false" ht="15" hidden="false" customHeight="false" outlineLevel="0" collapsed="false"/>
    <row r="1629" customFormat="false" ht="15" hidden="false" customHeight="false" outlineLevel="0" collapsed="false"/>
    <row r="1630" customFormat="false" ht="15" hidden="false" customHeight="false" outlineLevel="0" collapsed="false"/>
    <row r="1631" customFormat="false" ht="15" hidden="false" customHeight="false" outlineLevel="0" collapsed="false"/>
    <row r="1632" customFormat="false" ht="15" hidden="false" customHeight="false" outlineLevel="0" collapsed="false"/>
    <row r="1633" customFormat="false" ht="15" hidden="false" customHeight="false" outlineLevel="0" collapsed="false"/>
    <row r="1634" customFormat="false" ht="15" hidden="false" customHeight="false" outlineLevel="0" collapsed="false"/>
    <row r="1635" customFormat="false" ht="15" hidden="false" customHeight="false" outlineLevel="0" collapsed="false"/>
    <row r="1636" customFormat="false" ht="15" hidden="false" customHeight="false" outlineLevel="0" collapsed="false"/>
    <row r="1637" customFormat="false" ht="15" hidden="false" customHeight="false" outlineLevel="0" collapsed="false"/>
    <row r="1638" customFormat="false" ht="15" hidden="false" customHeight="false" outlineLevel="0" collapsed="false"/>
    <row r="1639" customFormat="false" ht="15" hidden="false" customHeight="false" outlineLevel="0" collapsed="false"/>
    <row r="1640" customFormat="false" ht="15" hidden="false" customHeight="false" outlineLevel="0" collapsed="false"/>
    <row r="1641" customFormat="false" ht="15" hidden="false" customHeight="false" outlineLevel="0" collapsed="false"/>
    <row r="1642" customFormat="false" ht="15" hidden="false" customHeight="false" outlineLevel="0" collapsed="false"/>
    <row r="1643" customFormat="false" ht="15" hidden="false" customHeight="false" outlineLevel="0" collapsed="false"/>
    <row r="1644" customFormat="false" ht="15" hidden="false" customHeight="false" outlineLevel="0" collapsed="false"/>
    <row r="1645" customFormat="false" ht="15" hidden="false" customHeight="false" outlineLevel="0" collapsed="false"/>
    <row r="1646" customFormat="false" ht="15" hidden="false" customHeight="false" outlineLevel="0" collapsed="false"/>
    <row r="1647" customFormat="false" ht="15" hidden="false" customHeight="false" outlineLevel="0" collapsed="false"/>
    <row r="1648" customFormat="false" ht="15" hidden="false" customHeight="false" outlineLevel="0" collapsed="false"/>
    <row r="1649" customFormat="false" ht="15" hidden="false" customHeight="false" outlineLevel="0" collapsed="false"/>
    <row r="1650" customFormat="false" ht="15" hidden="false" customHeight="false" outlineLevel="0" collapsed="false"/>
    <row r="1651" customFormat="false" ht="15" hidden="false" customHeight="false" outlineLevel="0" collapsed="false"/>
    <row r="1652" customFormat="false" ht="15" hidden="false" customHeight="false" outlineLevel="0" collapsed="false"/>
    <row r="1653" customFormat="false" ht="15" hidden="false" customHeight="false" outlineLevel="0" collapsed="false"/>
    <row r="1654" customFormat="false" ht="15" hidden="false" customHeight="false" outlineLevel="0" collapsed="false"/>
    <row r="1655" customFormat="false" ht="15" hidden="false" customHeight="false" outlineLevel="0" collapsed="false"/>
    <row r="1656" customFormat="false" ht="15" hidden="false" customHeight="false" outlineLevel="0" collapsed="false"/>
    <row r="1657" customFormat="false" ht="15" hidden="false" customHeight="false" outlineLevel="0" collapsed="false"/>
    <row r="1658" customFormat="false" ht="15" hidden="false" customHeight="false" outlineLevel="0" collapsed="false"/>
    <row r="1659" customFormat="false" ht="15" hidden="false" customHeight="false" outlineLevel="0" collapsed="false"/>
    <row r="1660" customFormat="false" ht="15" hidden="false" customHeight="false" outlineLevel="0" collapsed="false"/>
    <row r="1661" customFormat="false" ht="15" hidden="false" customHeight="false" outlineLevel="0" collapsed="false"/>
    <row r="1662" customFormat="false" ht="15" hidden="false" customHeight="false" outlineLevel="0" collapsed="false"/>
    <row r="1663" customFormat="false" ht="15" hidden="false" customHeight="false" outlineLevel="0" collapsed="false"/>
    <row r="1664" customFormat="false" ht="15" hidden="false" customHeight="false" outlineLevel="0" collapsed="false"/>
    <row r="1665" customFormat="false" ht="15" hidden="false" customHeight="false" outlineLevel="0" collapsed="false"/>
    <row r="1666" customFormat="false" ht="15" hidden="false" customHeight="false" outlineLevel="0" collapsed="false"/>
    <row r="1667" customFormat="false" ht="15" hidden="false" customHeight="false" outlineLevel="0" collapsed="false"/>
    <row r="1668" customFormat="false" ht="15" hidden="false" customHeight="false" outlineLevel="0" collapsed="false"/>
    <row r="1669" customFormat="false" ht="15" hidden="false" customHeight="false" outlineLevel="0" collapsed="false"/>
    <row r="1670" customFormat="false" ht="15" hidden="false" customHeight="false" outlineLevel="0" collapsed="false"/>
    <row r="1671" customFormat="false" ht="15" hidden="false" customHeight="false" outlineLevel="0" collapsed="false"/>
    <row r="1672" customFormat="false" ht="15" hidden="false" customHeight="false" outlineLevel="0" collapsed="false"/>
    <row r="1673" customFormat="false" ht="15" hidden="false" customHeight="false" outlineLevel="0" collapsed="false"/>
    <row r="1674" customFormat="false" ht="15" hidden="false" customHeight="false" outlineLevel="0" collapsed="false"/>
    <row r="1675" customFormat="false" ht="15" hidden="false" customHeight="false" outlineLevel="0" collapsed="false"/>
    <row r="1676" customFormat="false" ht="15" hidden="false" customHeight="false" outlineLevel="0" collapsed="false"/>
    <row r="1677" customFormat="false" ht="15" hidden="false" customHeight="false" outlineLevel="0" collapsed="false"/>
    <row r="1678" customFormat="false" ht="15" hidden="false" customHeight="false" outlineLevel="0" collapsed="false"/>
    <row r="1679" customFormat="false" ht="15" hidden="false" customHeight="false" outlineLevel="0" collapsed="false"/>
    <row r="1680" customFormat="false" ht="15" hidden="false" customHeight="false" outlineLevel="0" collapsed="false"/>
    <row r="1681" customFormat="false" ht="15" hidden="false" customHeight="false" outlineLevel="0" collapsed="false"/>
    <row r="1682" customFormat="false" ht="15" hidden="false" customHeight="false" outlineLevel="0" collapsed="false"/>
    <row r="1683" customFormat="false" ht="15" hidden="false" customHeight="false" outlineLevel="0" collapsed="false"/>
    <row r="1684" customFormat="false" ht="15" hidden="false" customHeight="false" outlineLevel="0" collapsed="false"/>
    <row r="1685" customFormat="false" ht="15" hidden="false" customHeight="false" outlineLevel="0" collapsed="false"/>
    <row r="1686" customFormat="false" ht="15" hidden="false" customHeight="false" outlineLevel="0" collapsed="false"/>
    <row r="1687" customFormat="false" ht="15" hidden="false" customHeight="false" outlineLevel="0" collapsed="false"/>
    <row r="1688" customFormat="false" ht="15" hidden="false" customHeight="false" outlineLevel="0" collapsed="false"/>
    <row r="1689" customFormat="false" ht="15" hidden="false" customHeight="false" outlineLevel="0" collapsed="false"/>
    <row r="1690" customFormat="false" ht="15" hidden="false" customHeight="false" outlineLevel="0" collapsed="false"/>
    <row r="1691" customFormat="false" ht="15" hidden="false" customHeight="false" outlineLevel="0" collapsed="false"/>
    <row r="1692" customFormat="false" ht="15" hidden="false" customHeight="false" outlineLevel="0" collapsed="false"/>
    <row r="1693" customFormat="false" ht="15" hidden="false" customHeight="false" outlineLevel="0" collapsed="false"/>
    <row r="1694" customFormat="false" ht="15" hidden="false" customHeight="false" outlineLevel="0" collapsed="false"/>
    <row r="1695" customFormat="false" ht="15" hidden="false" customHeight="false" outlineLevel="0" collapsed="false"/>
    <row r="1696" customFormat="false" ht="15" hidden="false" customHeight="false" outlineLevel="0" collapsed="false"/>
    <row r="1697" customFormat="false" ht="15" hidden="false" customHeight="false" outlineLevel="0" collapsed="false"/>
    <row r="1698" customFormat="false" ht="15" hidden="false" customHeight="false" outlineLevel="0" collapsed="false"/>
    <row r="1699" customFormat="false" ht="15" hidden="false" customHeight="false" outlineLevel="0" collapsed="false"/>
    <row r="1700" customFormat="false" ht="15" hidden="false" customHeight="false" outlineLevel="0" collapsed="false"/>
    <row r="1701" customFormat="false" ht="15" hidden="false" customHeight="false" outlineLevel="0" collapsed="false"/>
    <row r="1702" customFormat="false" ht="15" hidden="false" customHeight="false" outlineLevel="0" collapsed="false"/>
    <row r="1703" customFormat="false" ht="15" hidden="false" customHeight="false" outlineLevel="0" collapsed="false"/>
    <row r="1704" customFormat="false" ht="15" hidden="false" customHeight="false" outlineLevel="0" collapsed="false"/>
    <row r="1705" customFormat="false" ht="15" hidden="false" customHeight="false" outlineLevel="0" collapsed="false"/>
    <row r="1706" customFormat="false" ht="15" hidden="false" customHeight="false" outlineLevel="0" collapsed="false"/>
    <row r="1707" customFormat="false" ht="15" hidden="false" customHeight="false" outlineLevel="0" collapsed="false"/>
    <row r="1708" customFormat="false" ht="15" hidden="false" customHeight="false" outlineLevel="0" collapsed="false"/>
    <row r="1709" customFormat="false" ht="15" hidden="false" customHeight="false" outlineLevel="0" collapsed="false"/>
    <row r="1710" customFormat="false" ht="15" hidden="false" customHeight="false" outlineLevel="0" collapsed="false"/>
    <row r="1711" customFormat="false" ht="15" hidden="false" customHeight="false" outlineLevel="0" collapsed="false"/>
    <row r="1712" customFormat="false" ht="15" hidden="false" customHeight="false" outlineLevel="0" collapsed="false"/>
    <row r="1713" customFormat="false" ht="15" hidden="false" customHeight="false" outlineLevel="0" collapsed="false"/>
    <row r="1714" customFormat="false" ht="15" hidden="false" customHeight="false" outlineLevel="0" collapsed="false"/>
    <row r="1715" customFormat="false" ht="15" hidden="false" customHeight="false" outlineLevel="0" collapsed="false"/>
    <row r="1716" customFormat="false" ht="15" hidden="false" customHeight="false" outlineLevel="0" collapsed="false"/>
    <row r="1717" customFormat="false" ht="15" hidden="false" customHeight="false" outlineLevel="0" collapsed="false"/>
    <row r="1718" customFormat="false" ht="15" hidden="false" customHeight="false" outlineLevel="0" collapsed="false"/>
    <row r="1719" customFormat="false" ht="15" hidden="false" customHeight="false" outlineLevel="0" collapsed="false"/>
    <row r="1720" customFormat="false" ht="15" hidden="false" customHeight="false" outlineLevel="0" collapsed="false"/>
    <row r="1721" customFormat="false" ht="15" hidden="false" customHeight="false" outlineLevel="0" collapsed="false"/>
    <row r="1722" customFormat="false" ht="15" hidden="false" customHeight="false" outlineLevel="0" collapsed="false"/>
    <row r="1723" customFormat="false" ht="15" hidden="false" customHeight="false" outlineLevel="0" collapsed="false"/>
    <row r="1724" customFormat="false" ht="15" hidden="false" customHeight="false" outlineLevel="0" collapsed="false"/>
    <row r="1725" customFormat="false" ht="15" hidden="false" customHeight="false" outlineLevel="0" collapsed="false"/>
    <row r="1726" customFormat="false" ht="15" hidden="false" customHeight="false" outlineLevel="0" collapsed="false"/>
    <row r="1727" customFormat="false" ht="15" hidden="false" customHeight="false" outlineLevel="0" collapsed="false"/>
    <row r="1728" customFormat="false" ht="15" hidden="false" customHeight="false" outlineLevel="0" collapsed="false"/>
    <row r="1729" customFormat="false" ht="15" hidden="false" customHeight="false" outlineLevel="0" collapsed="false"/>
    <row r="1730" customFormat="false" ht="15" hidden="false" customHeight="false" outlineLevel="0" collapsed="false"/>
    <row r="1731" customFormat="false" ht="15" hidden="false" customHeight="false" outlineLevel="0" collapsed="false"/>
    <row r="1732" customFormat="false" ht="15" hidden="false" customHeight="false" outlineLevel="0" collapsed="false"/>
    <row r="1733" customFormat="false" ht="15" hidden="false" customHeight="false" outlineLevel="0" collapsed="false"/>
    <row r="1734" customFormat="false" ht="15" hidden="false" customHeight="false" outlineLevel="0" collapsed="false"/>
    <row r="1735" customFormat="false" ht="15" hidden="false" customHeight="false" outlineLevel="0" collapsed="false"/>
    <row r="1736" customFormat="false" ht="15" hidden="false" customHeight="false" outlineLevel="0" collapsed="false"/>
    <row r="1737" customFormat="false" ht="15" hidden="false" customHeight="false" outlineLevel="0" collapsed="false"/>
    <row r="1738" customFormat="false" ht="15" hidden="false" customHeight="false" outlineLevel="0" collapsed="false"/>
    <row r="1739" customFormat="false" ht="15" hidden="false" customHeight="false" outlineLevel="0" collapsed="false"/>
    <row r="1740" customFormat="false" ht="15" hidden="false" customHeight="false" outlineLevel="0" collapsed="false"/>
    <row r="1741" customFormat="false" ht="15" hidden="false" customHeight="false" outlineLevel="0" collapsed="false"/>
    <row r="1742" customFormat="false" ht="15" hidden="false" customHeight="false" outlineLevel="0" collapsed="false"/>
    <row r="1743" customFormat="false" ht="15" hidden="false" customHeight="false" outlineLevel="0" collapsed="false"/>
    <row r="1744" customFormat="false" ht="15" hidden="false" customHeight="false" outlineLevel="0" collapsed="false"/>
    <row r="1745" customFormat="false" ht="15" hidden="false" customHeight="false" outlineLevel="0" collapsed="false"/>
    <row r="1746" customFormat="false" ht="15" hidden="false" customHeight="false" outlineLevel="0" collapsed="false"/>
    <row r="1747" customFormat="false" ht="15" hidden="false" customHeight="false" outlineLevel="0" collapsed="false"/>
    <row r="1748" customFormat="false" ht="15" hidden="false" customHeight="false" outlineLevel="0" collapsed="false"/>
    <row r="1749" customFormat="false" ht="15" hidden="false" customHeight="false" outlineLevel="0" collapsed="false"/>
    <row r="1750" customFormat="false" ht="15" hidden="false" customHeight="false" outlineLevel="0" collapsed="false"/>
    <row r="1751" customFormat="false" ht="15" hidden="false" customHeight="false" outlineLevel="0" collapsed="false"/>
    <row r="1752" customFormat="false" ht="15" hidden="false" customHeight="false" outlineLevel="0" collapsed="false"/>
    <row r="1753" customFormat="false" ht="15" hidden="false" customHeight="false" outlineLevel="0" collapsed="false"/>
    <row r="1754" customFormat="false" ht="15" hidden="false" customHeight="false" outlineLevel="0" collapsed="false"/>
    <row r="1755" customFormat="false" ht="15" hidden="false" customHeight="false" outlineLevel="0" collapsed="false"/>
    <row r="1756" customFormat="false" ht="15" hidden="false" customHeight="false" outlineLevel="0" collapsed="false"/>
    <row r="1757" customFormat="false" ht="15" hidden="false" customHeight="false" outlineLevel="0" collapsed="false"/>
    <row r="1758" customFormat="false" ht="15" hidden="false" customHeight="false" outlineLevel="0" collapsed="false"/>
    <row r="1759" customFormat="false" ht="15" hidden="false" customHeight="false" outlineLevel="0" collapsed="false"/>
    <row r="1760" customFormat="false" ht="15" hidden="false" customHeight="false" outlineLevel="0" collapsed="false"/>
    <row r="1761" customFormat="false" ht="15" hidden="false" customHeight="false" outlineLevel="0" collapsed="false"/>
    <row r="1762" customFormat="false" ht="15" hidden="false" customHeight="false" outlineLevel="0" collapsed="false"/>
    <row r="1763" customFormat="false" ht="15" hidden="false" customHeight="false" outlineLevel="0" collapsed="false"/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5" hidden="false" customHeight="false" outlineLevel="0" collapsed="false"/>
    <row r="1768" customFormat="false" ht="15" hidden="false" customHeight="false" outlineLevel="0" collapsed="false"/>
    <row r="1769" customFormat="false" ht="15" hidden="false" customHeight="false" outlineLevel="0" collapsed="false"/>
    <row r="1770" customFormat="false" ht="15" hidden="false" customHeight="false" outlineLevel="0" collapsed="false"/>
    <row r="1771" customFormat="false" ht="15" hidden="false" customHeight="false" outlineLevel="0" collapsed="false"/>
    <row r="1772" customFormat="false" ht="15" hidden="false" customHeight="false" outlineLevel="0" collapsed="false"/>
    <row r="1773" customFormat="false" ht="15" hidden="false" customHeight="false" outlineLevel="0" collapsed="false"/>
    <row r="1774" customFormat="false" ht="15" hidden="false" customHeight="false" outlineLevel="0" collapsed="false"/>
    <row r="1775" customFormat="false" ht="15" hidden="false" customHeight="false" outlineLevel="0" collapsed="false"/>
    <row r="1776" customFormat="false" ht="15" hidden="false" customHeight="false" outlineLevel="0" collapsed="false"/>
    <row r="1777" customFormat="false" ht="15" hidden="false" customHeight="false" outlineLevel="0" collapsed="false"/>
    <row r="1778" customFormat="false" ht="15" hidden="false" customHeight="false" outlineLevel="0" collapsed="false"/>
    <row r="1779" customFormat="false" ht="15" hidden="false" customHeight="false" outlineLevel="0" collapsed="false"/>
    <row r="1780" customFormat="false" ht="15" hidden="false" customHeight="false" outlineLevel="0" collapsed="false"/>
    <row r="1781" customFormat="false" ht="15" hidden="false" customHeight="false" outlineLevel="0" collapsed="false"/>
    <row r="1782" customFormat="false" ht="15" hidden="false" customHeight="false" outlineLevel="0" collapsed="false"/>
    <row r="1783" customFormat="false" ht="15" hidden="false" customHeight="false" outlineLevel="0" collapsed="false"/>
    <row r="1784" customFormat="false" ht="15" hidden="false" customHeight="false" outlineLevel="0" collapsed="false"/>
    <row r="1785" customFormat="false" ht="15" hidden="false" customHeight="false" outlineLevel="0" collapsed="false"/>
    <row r="1786" customFormat="false" ht="15" hidden="false" customHeight="false" outlineLevel="0" collapsed="false"/>
    <row r="1787" customFormat="false" ht="15" hidden="false" customHeight="false" outlineLevel="0" collapsed="false"/>
    <row r="1788" customFormat="false" ht="15" hidden="false" customHeight="false" outlineLevel="0" collapsed="false"/>
    <row r="1789" customFormat="false" ht="15" hidden="false" customHeight="false" outlineLevel="0" collapsed="false"/>
    <row r="1790" customFormat="false" ht="15" hidden="false" customHeight="false" outlineLevel="0" collapsed="false"/>
    <row r="1791" customFormat="false" ht="15" hidden="false" customHeight="false" outlineLevel="0" collapsed="false"/>
    <row r="1792" customFormat="false" ht="15" hidden="false" customHeight="false" outlineLevel="0" collapsed="false"/>
    <row r="1793" customFormat="false" ht="15" hidden="false" customHeight="false" outlineLevel="0" collapsed="false"/>
    <row r="1794" customFormat="false" ht="15" hidden="false" customHeight="false" outlineLevel="0" collapsed="false"/>
    <row r="1795" customFormat="false" ht="15" hidden="false" customHeight="false" outlineLevel="0" collapsed="false"/>
    <row r="1796" customFormat="false" ht="15" hidden="false" customHeight="false" outlineLevel="0" collapsed="false"/>
    <row r="1797" customFormat="false" ht="15" hidden="false" customHeight="false" outlineLevel="0" collapsed="false"/>
    <row r="1798" customFormat="false" ht="15" hidden="false" customHeight="false" outlineLevel="0" collapsed="false"/>
    <row r="1799" customFormat="false" ht="15" hidden="false" customHeight="false" outlineLevel="0" collapsed="false"/>
    <row r="1800" customFormat="false" ht="15" hidden="false" customHeight="false" outlineLevel="0" collapsed="false"/>
    <row r="1801" customFormat="false" ht="15" hidden="false" customHeight="false" outlineLevel="0" collapsed="false"/>
    <row r="1802" customFormat="false" ht="15" hidden="false" customHeight="false" outlineLevel="0" collapsed="false"/>
    <row r="1803" customFormat="false" ht="15" hidden="false" customHeight="false" outlineLevel="0" collapsed="false"/>
    <row r="1804" customFormat="false" ht="15" hidden="false" customHeight="false" outlineLevel="0" collapsed="false"/>
    <row r="1805" customFormat="false" ht="15" hidden="false" customHeight="false" outlineLevel="0" collapsed="false"/>
    <row r="1806" customFormat="false" ht="15" hidden="false" customHeight="false" outlineLevel="0" collapsed="false"/>
    <row r="1807" customFormat="false" ht="15" hidden="false" customHeight="false" outlineLevel="0" collapsed="false"/>
    <row r="1808" customFormat="false" ht="15" hidden="false" customHeight="false" outlineLevel="0" collapsed="false"/>
    <row r="1809" customFormat="false" ht="15" hidden="false" customHeight="false" outlineLevel="0" collapsed="false"/>
    <row r="1810" customFormat="false" ht="15" hidden="false" customHeight="false" outlineLevel="0" collapsed="false"/>
    <row r="1811" customFormat="false" ht="15" hidden="false" customHeight="false" outlineLevel="0" collapsed="false"/>
    <row r="1812" customFormat="false" ht="15" hidden="false" customHeight="false" outlineLevel="0" collapsed="false"/>
    <row r="1813" customFormat="false" ht="15" hidden="false" customHeight="false" outlineLevel="0" collapsed="false"/>
    <row r="1814" customFormat="false" ht="15" hidden="false" customHeight="false" outlineLevel="0" collapsed="false"/>
    <row r="1815" customFormat="false" ht="15" hidden="false" customHeight="false" outlineLevel="0" collapsed="false"/>
    <row r="1816" customFormat="false" ht="15" hidden="false" customHeight="false" outlineLevel="0" collapsed="false"/>
    <row r="1817" customFormat="false" ht="15" hidden="false" customHeight="false" outlineLevel="0" collapsed="false"/>
    <row r="1818" customFormat="false" ht="15" hidden="false" customHeight="false" outlineLevel="0" collapsed="false"/>
    <row r="1819" customFormat="false" ht="15" hidden="false" customHeight="false" outlineLevel="0" collapsed="false"/>
    <row r="1820" customFormat="false" ht="15" hidden="false" customHeight="false" outlineLevel="0" collapsed="false"/>
    <row r="1821" customFormat="false" ht="15" hidden="false" customHeight="false" outlineLevel="0" collapsed="false"/>
    <row r="1822" customFormat="false" ht="15" hidden="false" customHeight="false" outlineLevel="0" collapsed="false"/>
    <row r="1823" customFormat="false" ht="15" hidden="false" customHeight="false" outlineLevel="0" collapsed="false"/>
    <row r="1824" customFormat="false" ht="15" hidden="false" customHeight="false" outlineLevel="0" collapsed="false"/>
    <row r="1825" customFormat="false" ht="15" hidden="false" customHeight="false" outlineLevel="0" collapsed="false"/>
    <row r="1826" customFormat="false" ht="15" hidden="false" customHeight="false" outlineLevel="0" collapsed="false"/>
    <row r="1827" customFormat="false" ht="15" hidden="false" customHeight="false" outlineLevel="0" collapsed="false"/>
    <row r="1828" customFormat="false" ht="15" hidden="false" customHeight="false" outlineLevel="0" collapsed="false"/>
    <row r="1829" customFormat="false" ht="15" hidden="false" customHeight="false" outlineLevel="0" collapsed="false"/>
    <row r="1830" customFormat="false" ht="15" hidden="false" customHeight="false" outlineLevel="0" collapsed="false"/>
    <row r="1831" customFormat="false" ht="15" hidden="false" customHeight="false" outlineLevel="0" collapsed="false"/>
    <row r="1832" customFormat="false" ht="15" hidden="false" customHeight="false" outlineLevel="0" collapsed="false"/>
    <row r="1833" customFormat="false" ht="15" hidden="false" customHeight="false" outlineLevel="0" collapsed="false"/>
    <row r="1834" customFormat="false" ht="15" hidden="false" customHeight="false" outlineLevel="0" collapsed="false"/>
    <row r="1835" customFormat="false" ht="15" hidden="false" customHeight="false" outlineLevel="0" collapsed="false"/>
    <row r="1836" customFormat="false" ht="15" hidden="false" customHeight="false" outlineLevel="0" collapsed="false"/>
    <row r="1837" customFormat="false" ht="15" hidden="false" customHeight="false" outlineLevel="0" collapsed="false"/>
    <row r="1838" customFormat="false" ht="15" hidden="false" customHeight="false" outlineLevel="0" collapsed="false"/>
    <row r="1839" customFormat="false" ht="15" hidden="false" customHeight="false" outlineLevel="0" collapsed="false"/>
    <row r="1840" customFormat="false" ht="15" hidden="false" customHeight="false" outlineLevel="0" collapsed="false"/>
    <row r="1841" customFormat="false" ht="15" hidden="false" customHeight="false" outlineLevel="0" collapsed="false"/>
    <row r="1842" customFormat="false" ht="15" hidden="false" customHeight="false" outlineLevel="0" collapsed="false"/>
    <row r="1843" customFormat="false" ht="15" hidden="false" customHeight="false" outlineLevel="0" collapsed="false"/>
    <row r="1844" customFormat="false" ht="15" hidden="false" customHeight="false" outlineLevel="0" collapsed="false"/>
    <row r="1845" customFormat="false" ht="15" hidden="false" customHeight="false" outlineLevel="0" collapsed="false"/>
    <row r="1846" customFormat="false" ht="15" hidden="false" customHeight="false" outlineLevel="0" collapsed="false"/>
    <row r="1847" customFormat="false" ht="15" hidden="false" customHeight="false" outlineLevel="0" collapsed="false"/>
    <row r="1848" customFormat="false" ht="15" hidden="false" customHeight="false" outlineLevel="0" collapsed="false"/>
    <row r="1849" customFormat="false" ht="15" hidden="false" customHeight="false" outlineLevel="0" collapsed="false"/>
    <row r="1850" customFormat="false" ht="15" hidden="false" customHeight="false" outlineLevel="0" collapsed="false"/>
    <row r="1851" customFormat="false" ht="15" hidden="false" customHeight="false" outlineLevel="0" collapsed="false"/>
    <row r="1852" customFormat="false" ht="15" hidden="false" customHeight="false" outlineLevel="0" collapsed="false"/>
    <row r="1853" customFormat="false" ht="15" hidden="false" customHeight="false" outlineLevel="0" collapsed="false"/>
    <row r="1854" customFormat="false" ht="15" hidden="false" customHeight="false" outlineLevel="0" collapsed="false"/>
    <row r="1855" customFormat="false" ht="15" hidden="false" customHeight="false" outlineLevel="0" collapsed="false"/>
    <row r="1856" customFormat="false" ht="15" hidden="false" customHeight="false" outlineLevel="0" collapsed="false"/>
    <row r="1857" customFormat="false" ht="15" hidden="false" customHeight="false" outlineLevel="0" collapsed="false"/>
    <row r="1858" customFormat="false" ht="15" hidden="false" customHeight="false" outlineLevel="0" collapsed="false"/>
    <row r="1859" customFormat="false" ht="15" hidden="false" customHeight="false" outlineLevel="0" collapsed="false"/>
    <row r="1860" customFormat="false" ht="15" hidden="false" customHeight="false" outlineLevel="0" collapsed="false"/>
    <row r="1861" customFormat="false" ht="15" hidden="false" customHeight="false" outlineLevel="0" collapsed="false"/>
    <row r="1862" customFormat="false" ht="15" hidden="false" customHeight="false" outlineLevel="0" collapsed="false"/>
    <row r="1863" customFormat="false" ht="15" hidden="false" customHeight="false" outlineLevel="0" collapsed="false"/>
    <row r="1864" customFormat="false" ht="15" hidden="false" customHeight="false" outlineLevel="0" collapsed="false"/>
    <row r="1865" customFormat="false" ht="15" hidden="false" customHeight="false" outlineLevel="0" collapsed="false"/>
    <row r="1866" customFormat="false" ht="15" hidden="false" customHeight="false" outlineLevel="0" collapsed="false"/>
    <row r="1867" customFormat="false" ht="15" hidden="false" customHeight="false" outlineLevel="0" collapsed="false"/>
    <row r="1868" customFormat="false" ht="15" hidden="false" customHeight="false" outlineLevel="0" collapsed="false"/>
    <row r="1869" customFormat="false" ht="15" hidden="false" customHeight="false" outlineLevel="0" collapsed="false"/>
    <row r="1870" customFormat="false" ht="15" hidden="false" customHeight="false" outlineLevel="0" collapsed="false"/>
    <row r="1871" customFormat="false" ht="15" hidden="false" customHeight="false" outlineLevel="0" collapsed="false"/>
    <row r="1872" customFormat="false" ht="15" hidden="false" customHeight="false" outlineLevel="0" collapsed="false"/>
    <row r="1873" customFormat="false" ht="15" hidden="false" customHeight="false" outlineLevel="0" collapsed="false"/>
    <row r="1874" customFormat="false" ht="15" hidden="false" customHeight="false" outlineLevel="0" collapsed="false"/>
    <row r="1875" customFormat="false" ht="15" hidden="false" customHeight="false" outlineLevel="0" collapsed="false"/>
    <row r="1876" customFormat="false" ht="15" hidden="false" customHeight="false" outlineLevel="0" collapsed="false"/>
    <row r="1877" customFormat="false" ht="15" hidden="false" customHeight="false" outlineLevel="0" collapsed="false"/>
    <row r="1878" customFormat="false" ht="15" hidden="false" customHeight="false" outlineLevel="0" collapsed="false"/>
    <row r="1879" customFormat="false" ht="15" hidden="false" customHeight="false" outlineLevel="0" collapsed="false"/>
    <row r="1880" customFormat="false" ht="15" hidden="false" customHeight="false" outlineLevel="0" collapsed="false"/>
    <row r="1881" customFormat="false" ht="15" hidden="false" customHeight="false" outlineLevel="0" collapsed="false"/>
    <row r="1882" customFormat="false" ht="15" hidden="false" customHeight="false" outlineLevel="0" collapsed="false"/>
    <row r="1883" customFormat="false" ht="15" hidden="false" customHeight="false" outlineLevel="0" collapsed="false"/>
    <row r="1884" customFormat="false" ht="15" hidden="false" customHeight="false" outlineLevel="0" collapsed="false"/>
    <row r="1885" customFormat="false" ht="15" hidden="false" customHeight="false" outlineLevel="0" collapsed="false"/>
    <row r="1886" customFormat="false" ht="15" hidden="false" customHeight="false" outlineLevel="0" collapsed="false"/>
    <row r="1887" customFormat="false" ht="15" hidden="false" customHeight="false" outlineLevel="0" collapsed="false"/>
    <row r="1888" customFormat="false" ht="15" hidden="false" customHeight="false" outlineLevel="0" collapsed="false"/>
    <row r="1889" customFormat="false" ht="15" hidden="false" customHeight="false" outlineLevel="0" collapsed="false"/>
    <row r="1890" customFormat="false" ht="15" hidden="false" customHeight="false" outlineLevel="0" collapsed="false"/>
    <row r="1891" customFormat="false" ht="15" hidden="false" customHeight="false" outlineLevel="0" collapsed="false"/>
    <row r="1892" customFormat="false" ht="15" hidden="false" customHeight="false" outlineLevel="0" collapsed="false"/>
    <row r="1893" customFormat="false" ht="15" hidden="false" customHeight="false" outlineLevel="0" collapsed="false"/>
    <row r="1894" customFormat="false" ht="15" hidden="false" customHeight="false" outlineLevel="0" collapsed="false"/>
    <row r="1895" customFormat="false" ht="15" hidden="false" customHeight="false" outlineLevel="0" collapsed="false"/>
    <row r="1896" customFormat="false" ht="15" hidden="false" customHeight="false" outlineLevel="0" collapsed="false"/>
    <row r="1897" customFormat="false" ht="15" hidden="false" customHeight="false" outlineLevel="0" collapsed="false"/>
    <row r="1898" customFormat="false" ht="15" hidden="false" customHeight="false" outlineLevel="0" collapsed="false"/>
    <row r="1899" customFormat="false" ht="15" hidden="false" customHeight="false" outlineLevel="0" collapsed="false"/>
    <row r="1900" customFormat="false" ht="15" hidden="false" customHeight="false" outlineLevel="0" collapsed="false"/>
    <row r="1901" customFormat="false" ht="15" hidden="false" customHeight="false" outlineLevel="0" collapsed="false"/>
    <row r="1902" customFormat="false" ht="15" hidden="false" customHeight="false" outlineLevel="0" collapsed="false"/>
    <row r="1903" customFormat="false" ht="15" hidden="false" customHeight="false" outlineLevel="0" collapsed="false"/>
    <row r="1904" customFormat="false" ht="15" hidden="false" customHeight="false" outlineLevel="0" collapsed="false"/>
    <row r="1905" customFormat="false" ht="15" hidden="false" customHeight="false" outlineLevel="0" collapsed="false"/>
    <row r="1906" customFormat="false" ht="15" hidden="false" customHeight="false" outlineLevel="0" collapsed="false"/>
    <row r="1907" customFormat="false" ht="15" hidden="false" customHeight="false" outlineLevel="0" collapsed="false"/>
    <row r="1908" customFormat="false" ht="15" hidden="false" customHeight="false" outlineLevel="0" collapsed="false"/>
    <row r="1909" customFormat="false" ht="15" hidden="false" customHeight="false" outlineLevel="0" collapsed="false"/>
    <row r="1910" customFormat="false" ht="15" hidden="false" customHeight="false" outlineLevel="0" collapsed="false"/>
    <row r="1911" customFormat="false" ht="15" hidden="false" customHeight="false" outlineLevel="0" collapsed="false"/>
    <row r="1912" customFormat="false" ht="15" hidden="false" customHeight="false" outlineLevel="0" collapsed="false"/>
    <row r="1913" customFormat="false" ht="15" hidden="false" customHeight="false" outlineLevel="0" collapsed="false"/>
    <row r="1914" customFormat="false" ht="15" hidden="false" customHeight="false" outlineLevel="0" collapsed="false"/>
    <row r="1915" customFormat="false" ht="15" hidden="false" customHeight="false" outlineLevel="0" collapsed="false"/>
    <row r="1916" customFormat="false" ht="15" hidden="false" customHeight="false" outlineLevel="0" collapsed="false"/>
    <row r="1917" customFormat="false" ht="15" hidden="false" customHeight="false" outlineLevel="0" collapsed="false"/>
    <row r="1918" customFormat="false" ht="15" hidden="false" customHeight="false" outlineLevel="0" collapsed="false"/>
    <row r="1919" customFormat="false" ht="15" hidden="false" customHeight="false" outlineLevel="0" collapsed="false"/>
    <row r="1920" customFormat="false" ht="15" hidden="false" customHeight="false" outlineLevel="0" collapsed="false"/>
    <row r="1921" customFormat="false" ht="15" hidden="false" customHeight="false" outlineLevel="0" collapsed="false"/>
    <row r="1922" customFormat="false" ht="15" hidden="false" customHeight="false" outlineLevel="0" collapsed="false"/>
    <row r="1923" customFormat="false" ht="15" hidden="false" customHeight="false" outlineLevel="0" collapsed="false"/>
    <row r="1924" customFormat="false" ht="15" hidden="false" customHeight="false" outlineLevel="0" collapsed="false"/>
    <row r="1925" customFormat="false" ht="15" hidden="false" customHeight="false" outlineLevel="0" collapsed="false"/>
    <row r="1926" customFormat="false" ht="15" hidden="false" customHeight="false" outlineLevel="0" collapsed="false"/>
    <row r="1927" customFormat="false" ht="15" hidden="false" customHeight="false" outlineLevel="0" collapsed="false"/>
    <row r="1928" customFormat="false" ht="15" hidden="false" customHeight="false" outlineLevel="0" collapsed="false"/>
    <row r="1929" customFormat="false" ht="15" hidden="false" customHeight="false" outlineLevel="0" collapsed="false"/>
    <row r="1930" customFormat="false" ht="15" hidden="false" customHeight="false" outlineLevel="0" collapsed="false"/>
    <row r="1931" customFormat="false" ht="15" hidden="false" customHeight="false" outlineLevel="0" collapsed="false"/>
    <row r="1932" customFormat="false" ht="15" hidden="false" customHeight="false" outlineLevel="0" collapsed="false"/>
    <row r="1933" customFormat="false" ht="15" hidden="false" customHeight="false" outlineLevel="0" collapsed="false"/>
    <row r="1934" customFormat="false" ht="15" hidden="false" customHeight="false" outlineLevel="0" collapsed="false"/>
    <row r="1935" customFormat="false" ht="15" hidden="false" customHeight="false" outlineLevel="0" collapsed="false"/>
    <row r="1936" customFormat="false" ht="15" hidden="false" customHeight="false" outlineLevel="0" collapsed="false"/>
    <row r="1937" customFormat="false" ht="15" hidden="false" customHeight="false" outlineLevel="0" collapsed="false"/>
    <row r="1938" customFormat="false" ht="15" hidden="false" customHeight="false" outlineLevel="0" collapsed="false"/>
    <row r="1939" customFormat="false" ht="15" hidden="false" customHeight="false" outlineLevel="0" collapsed="false"/>
    <row r="1940" customFormat="false" ht="15" hidden="false" customHeight="false" outlineLevel="0" collapsed="false"/>
    <row r="1941" customFormat="false" ht="15" hidden="false" customHeight="false" outlineLevel="0" collapsed="false"/>
    <row r="1942" customFormat="false" ht="15" hidden="false" customHeight="false" outlineLevel="0" collapsed="false"/>
    <row r="1943" customFormat="false" ht="15" hidden="false" customHeight="false" outlineLevel="0" collapsed="false"/>
    <row r="1944" customFormat="false" ht="15" hidden="false" customHeight="false" outlineLevel="0" collapsed="false"/>
    <row r="1945" customFormat="false" ht="15" hidden="false" customHeight="false" outlineLevel="0" collapsed="false"/>
    <row r="1946" customFormat="false" ht="15" hidden="false" customHeight="false" outlineLevel="0" collapsed="false"/>
    <row r="1947" customFormat="false" ht="15" hidden="false" customHeight="false" outlineLevel="0" collapsed="false"/>
    <row r="1948" customFormat="false" ht="15" hidden="false" customHeight="false" outlineLevel="0" collapsed="false"/>
    <row r="1949" customFormat="false" ht="15" hidden="false" customHeight="false" outlineLevel="0" collapsed="false"/>
    <row r="1950" customFormat="false" ht="15" hidden="false" customHeight="false" outlineLevel="0" collapsed="false"/>
    <row r="1951" customFormat="false" ht="15" hidden="false" customHeight="false" outlineLevel="0" collapsed="false"/>
    <row r="1952" customFormat="false" ht="15" hidden="false" customHeight="false" outlineLevel="0" collapsed="false"/>
    <row r="1953" customFormat="false" ht="15" hidden="false" customHeight="false" outlineLevel="0" collapsed="false"/>
    <row r="1954" customFormat="false" ht="15" hidden="false" customHeight="false" outlineLevel="0" collapsed="false"/>
    <row r="1955" customFormat="false" ht="15" hidden="false" customHeight="false" outlineLevel="0" collapsed="false"/>
    <row r="1956" customFormat="false" ht="15" hidden="false" customHeight="false" outlineLevel="0" collapsed="false"/>
    <row r="1957" customFormat="false" ht="15" hidden="false" customHeight="false" outlineLevel="0" collapsed="false"/>
    <row r="1958" customFormat="false" ht="15" hidden="false" customHeight="false" outlineLevel="0" collapsed="false"/>
    <row r="1959" customFormat="false" ht="15" hidden="false" customHeight="false" outlineLevel="0" collapsed="false"/>
    <row r="1960" customFormat="false" ht="15" hidden="false" customHeight="false" outlineLevel="0" collapsed="false"/>
    <row r="1961" customFormat="false" ht="15" hidden="false" customHeight="false" outlineLevel="0" collapsed="false"/>
    <row r="1962" customFormat="false" ht="15" hidden="false" customHeight="false" outlineLevel="0" collapsed="false"/>
    <row r="1963" customFormat="false" ht="15" hidden="false" customHeight="false" outlineLevel="0" collapsed="false"/>
    <row r="1964" customFormat="false" ht="15" hidden="false" customHeight="false" outlineLevel="0" collapsed="false"/>
    <row r="1965" customFormat="false" ht="15" hidden="false" customHeight="false" outlineLevel="0" collapsed="false"/>
    <row r="1966" customFormat="false" ht="15" hidden="false" customHeight="false" outlineLevel="0" collapsed="false"/>
    <row r="1967" customFormat="false" ht="15" hidden="false" customHeight="false" outlineLevel="0" collapsed="false"/>
    <row r="1968" customFormat="false" ht="15" hidden="false" customHeight="false" outlineLevel="0" collapsed="false"/>
    <row r="1969" customFormat="false" ht="15" hidden="false" customHeight="false" outlineLevel="0" collapsed="false"/>
    <row r="1970" customFormat="false" ht="15" hidden="false" customHeight="false" outlineLevel="0" collapsed="false"/>
    <row r="1971" customFormat="false" ht="15" hidden="false" customHeight="false" outlineLevel="0" collapsed="false"/>
    <row r="1972" customFormat="false" ht="15" hidden="false" customHeight="false" outlineLevel="0" collapsed="false"/>
    <row r="1973" customFormat="false" ht="15" hidden="false" customHeight="false" outlineLevel="0" collapsed="false"/>
    <row r="1974" customFormat="false" ht="15" hidden="false" customHeight="false" outlineLevel="0" collapsed="false"/>
    <row r="1975" customFormat="false" ht="15" hidden="false" customHeight="false" outlineLevel="0" collapsed="false"/>
    <row r="1976" customFormat="false" ht="15" hidden="false" customHeight="false" outlineLevel="0" collapsed="false"/>
    <row r="1977" customFormat="false" ht="15" hidden="false" customHeight="false" outlineLevel="0" collapsed="false"/>
    <row r="1978" customFormat="false" ht="15" hidden="false" customHeight="false" outlineLevel="0" collapsed="false"/>
    <row r="1979" customFormat="false" ht="15" hidden="false" customHeight="false" outlineLevel="0" collapsed="false"/>
    <row r="1980" customFormat="false" ht="15" hidden="false" customHeight="false" outlineLevel="0" collapsed="false"/>
    <row r="1981" customFormat="false" ht="15" hidden="false" customHeight="false" outlineLevel="0" collapsed="false"/>
    <row r="1982" customFormat="false" ht="15" hidden="false" customHeight="false" outlineLevel="0" collapsed="false"/>
    <row r="1983" customFormat="false" ht="15" hidden="false" customHeight="false" outlineLevel="0" collapsed="false"/>
    <row r="1984" customFormat="false" ht="15" hidden="false" customHeight="false" outlineLevel="0" collapsed="false"/>
    <row r="1985" customFormat="false" ht="15" hidden="false" customHeight="false" outlineLevel="0" collapsed="false"/>
    <row r="1986" customFormat="false" ht="15" hidden="false" customHeight="false" outlineLevel="0" collapsed="false"/>
    <row r="1987" customFormat="false" ht="15" hidden="false" customHeight="false" outlineLevel="0" collapsed="false"/>
    <row r="1988" customFormat="false" ht="15" hidden="false" customHeight="false" outlineLevel="0" collapsed="false"/>
    <row r="1989" customFormat="false" ht="15" hidden="false" customHeight="false" outlineLevel="0" collapsed="false"/>
    <row r="1990" customFormat="false" ht="15" hidden="false" customHeight="false" outlineLevel="0" collapsed="false"/>
    <row r="1991" customFormat="false" ht="15" hidden="false" customHeight="false" outlineLevel="0" collapsed="false"/>
    <row r="1992" customFormat="false" ht="15" hidden="false" customHeight="false" outlineLevel="0" collapsed="false"/>
    <row r="1993" customFormat="false" ht="15" hidden="false" customHeight="false" outlineLevel="0" collapsed="false"/>
    <row r="1994" customFormat="false" ht="15" hidden="false" customHeight="false" outlineLevel="0" collapsed="false"/>
    <row r="1995" customFormat="false" ht="15" hidden="false" customHeight="false" outlineLevel="0" collapsed="false"/>
    <row r="1996" customFormat="false" ht="15" hidden="false" customHeight="false" outlineLevel="0" collapsed="false"/>
    <row r="1997" customFormat="false" ht="15" hidden="false" customHeight="false" outlineLevel="0" collapsed="false"/>
    <row r="1998" customFormat="false" ht="15" hidden="false" customHeight="false" outlineLevel="0" collapsed="false"/>
    <row r="1999" customFormat="false" ht="15" hidden="false" customHeight="false" outlineLevel="0" collapsed="false"/>
    <row r="2000" customFormat="false" ht="15" hidden="false" customHeight="false" outlineLevel="0" collapsed="false"/>
    <row r="2001" customFormat="false" ht="15" hidden="false" customHeight="false" outlineLevel="0" collapsed="false"/>
    <row r="2002" customFormat="false" ht="15" hidden="false" customHeight="false" outlineLevel="0" collapsed="false"/>
    <row r="2003" customFormat="false" ht="15" hidden="false" customHeight="false" outlineLevel="0" collapsed="false"/>
    <row r="2004" customFormat="false" ht="15" hidden="false" customHeight="false" outlineLevel="0" collapsed="false"/>
    <row r="2005" customFormat="false" ht="15" hidden="false" customHeight="false" outlineLevel="0" collapsed="false"/>
    <row r="2006" customFormat="false" ht="15" hidden="false" customHeight="false" outlineLevel="0" collapsed="false"/>
    <row r="2007" customFormat="false" ht="15" hidden="false" customHeight="false" outlineLevel="0" collapsed="false"/>
    <row r="2008" customFormat="false" ht="15" hidden="false" customHeight="false" outlineLevel="0" collapsed="false"/>
    <row r="2009" customFormat="false" ht="15" hidden="false" customHeight="false" outlineLevel="0" collapsed="false"/>
    <row r="2010" customFormat="false" ht="15" hidden="false" customHeight="false" outlineLevel="0" collapsed="false"/>
    <row r="2011" customFormat="false" ht="15" hidden="false" customHeight="false" outlineLevel="0" collapsed="false"/>
    <row r="2012" customFormat="false" ht="15" hidden="false" customHeight="false" outlineLevel="0" collapsed="false"/>
    <row r="2013" customFormat="false" ht="15" hidden="false" customHeight="false" outlineLevel="0" collapsed="false"/>
    <row r="2014" customFormat="false" ht="15" hidden="false" customHeight="false" outlineLevel="0" collapsed="false"/>
    <row r="2015" customFormat="false" ht="15" hidden="false" customHeight="false" outlineLevel="0" collapsed="false"/>
    <row r="2016" customFormat="false" ht="15" hidden="false" customHeight="false" outlineLevel="0" collapsed="false"/>
    <row r="2017" customFormat="false" ht="15" hidden="false" customHeight="false" outlineLevel="0" collapsed="false"/>
    <row r="2018" customFormat="false" ht="15" hidden="false" customHeight="false" outlineLevel="0" collapsed="false"/>
    <row r="2019" customFormat="false" ht="15" hidden="false" customHeight="false" outlineLevel="0" collapsed="false"/>
    <row r="2020" customFormat="false" ht="15" hidden="false" customHeight="false" outlineLevel="0" collapsed="false"/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5" hidden="false" customHeight="false" outlineLevel="0" collapsed="false"/>
    <row r="2025" customFormat="false" ht="15" hidden="false" customHeight="false" outlineLevel="0" collapsed="false"/>
    <row r="2026" customFormat="false" ht="15" hidden="false" customHeight="false" outlineLevel="0" collapsed="false"/>
    <row r="2027" customFormat="false" ht="15" hidden="false" customHeight="false" outlineLevel="0" collapsed="false"/>
    <row r="2028" customFormat="false" ht="15" hidden="false" customHeight="false" outlineLevel="0" collapsed="false"/>
    <row r="2029" customFormat="false" ht="15" hidden="false" customHeight="false" outlineLevel="0" collapsed="false"/>
    <row r="2030" customFormat="false" ht="15" hidden="false" customHeight="false" outlineLevel="0" collapsed="false"/>
    <row r="2031" customFormat="false" ht="15" hidden="false" customHeight="false" outlineLevel="0" collapsed="false"/>
    <row r="2032" customFormat="false" ht="15" hidden="false" customHeight="false" outlineLevel="0" collapsed="false"/>
    <row r="2033" customFormat="false" ht="15" hidden="false" customHeight="false" outlineLevel="0" collapsed="false"/>
    <row r="2034" customFormat="false" ht="15" hidden="false" customHeight="false" outlineLevel="0" collapsed="false"/>
    <row r="2035" customFormat="false" ht="15" hidden="false" customHeight="false" outlineLevel="0" collapsed="false"/>
    <row r="2036" customFormat="false" ht="15" hidden="false" customHeight="false" outlineLevel="0" collapsed="false"/>
    <row r="2037" customFormat="false" ht="15" hidden="false" customHeight="false" outlineLevel="0" collapsed="false"/>
    <row r="2038" customFormat="false" ht="15" hidden="false" customHeight="false" outlineLevel="0" collapsed="false"/>
    <row r="2039" customFormat="false" ht="15" hidden="false" customHeight="false" outlineLevel="0" collapsed="false"/>
    <row r="2040" customFormat="false" ht="15" hidden="false" customHeight="false" outlineLevel="0" collapsed="false"/>
    <row r="2041" customFormat="false" ht="15" hidden="false" customHeight="false" outlineLevel="0" collapsed="false"/>
    <row r="2042" customFormat="false" ht="15" hidden="false" customHeight="false" outlineLevel="0" collapsed="false"/>
    <row r="2043" customFormat="false" ht="15" hidden="false" customHeight="false" outlineLevel="0" collapsed="false"/>
    <row r="2044" customFormat="false" ht="15" hidden="false" customHeight="false" outlineLevel="0" collapsed="false"/>
    <row r="2045" customFormat="false" ht="15" hidden="false" customHeight="false" outlineLevel="0" collapsed="false"/>
    <row r="2046" customFormat="false" ht="15" hidden="false" customHeight="false" outlineLevel="0" collapsed="false"/>
    <row r="2047" customFormat="false" ht="15" hidden="false" customHeight="false" outlineLevel="0" collapsed="false"/>
    <row r="2048" customFormat="false" ht="15" hidden="false" customHeight="false" outlineLevel="0" collapsed="false"/>
    <row r="2049" customFormat="false" ht="15" hidden="false" customHeight="false" outlineLevel="0" collapsed="false"/>
    <row r="2050" customFormat="false" ht="15" hidden="false" customHeight="false" outlineLevel="0" collapsed="false"/>
    <row r="2051" customFormat="false" ht="15" hidden="false" customHeight="false" outlineLevel="0" collapsed="false"/>
    <row r="2052" customFormat="false" ht="15" hidden="false" customHeight="false" outlineLevel="0" collapsed="false"/>
    <row r="2053" customFormat="false" ht="15" hidden="false" customHeight="false" outlineLevel="0" collapsed="false"/>
    <row r="2054" customFormat="false" ht="15" hidden="false" customHeight="false" outlineLevel="0" collapsed="false"/>
    <row r="2055" customFormat="false" ht="15" hidden="false" customHeight="false" outlineLevel="0" collapsed="false"/>
    <row r="2056" customFormat="false" ht="15" hidden="false" customHeight="false" outlineLevel="0" collapsed="false"/>
    <row r="2057" customFormat="false" ht="15" hidden="false" customHeight="false" outlineLevel="0" collapsed="false"/>
    <row r="2058" customFormat="false" ht="15" hidden="false" customHeight="false" outlineLevel="0" collapsed="false"/>
    <row r="2059" customFormat="false" ht="15" hidden="false" customHeight="false" outlineLevel="0" collapsed="false"/>
    <row r="2060" customFormat="false" ht="15" hidden="false" customHeight="false" outlineLevel="0" collapsed="false"/>
    <row r="2061" customFormat="false" ht="15" hidden="false" customHeight="false" outlineLevel="0" collapsed="false"/>
    <row r="2062" customFormat="false" ht="15" hidden="false" customHeight="false" outlineLevel="0" collapsed="false"/>
    <row r="2063" customFormat="false" ht="15" hidden="false" customHeight="false" outlineLevel="0" collapsed="false"/>
    <row r="2064" customFormat="false" ht="15" hidden="false" customHeight="false" outlineLevel="0" collapsed="false"/>
    <row r="2065" customFormat="false" ht="15" hidden="false" customHeight="false" outlineLevel="0" collapsed="false"/>
    <row r="2066" customFormat="false" ht="15" hidden="false" customHeight="false" outlineLevel="0" collapsed="false"/>
    <row r="2067" customFormat="false" ht="15" hidden="false" customHeight="false" outlineLevel="0" collapsed="false"/>
    <row r="2068" customFormat="false" ht="15" hidden="false" customHeight="false" outlineLevel="0" collapsed="false"/>
    <row r="2069" customFormat="false" ht="15" hidden="false" customHeight="false" outlineLevel="0" collapsed="false"/>
    <row r="2070" customFormat="false" ht="15" hidden="false" customHeight="false" outlineLevel="0" collapsed="false"/>
    <row r="2071" customFormat="false" ht="15" hidden="false" customHeight="false" outlineLevel="0" collapsed="false"/>
    <row r="2072" customFormat="false" ht="15" hidden="false" customHeight="false" outlineLevel="0" collapsed="false"/>
    <row r="2073" customFormat="false" ht="15" hidden="false" customHeight="false" outlineLevel="0" collapsed="false"/>
    <row r="2074" customFormat="false" ht="15" hidden="false" customHeight="false" outlineLevel="0" collapsed="false"/>
    <row r="2075" customFormat="false" ht="15" hidden="false" customHeight="false" outlineLevel="0" collapsed="false"/>
    <row r="2076" customFormat="false" ht="15" hidden="false" customHeight="false" outlineLevel="0" collapsed="false"/>
    <row r="2077" customFormat="false" ht="15" hidden="false" customHeight="false" outlineLevel="0" collapsed="false"/>
    <row r="2078" customFormat="false" ht="15" hidden="false" customHeight="false" outlineLevel="0" collapsed="false"/>
    <row r="2079" customFormat="false" ht="15" hidden="false" customHeight="false" outlineLevel="0" collapsed="false"/>
    <row r="2080" customFormat="false" ht="15" hidden="false" customHeight="false" outlineLevel="0" collapsed="false"/>
    <row r="2081" customFormat="false" ht="15" hidden="false" customHeight="false" outlineLevel="0" collapsed="false"/>
    <row r="2082" customFormat="false" ht="15" hidden="false" customHeight="false" outlineLevel="0" collapsed="false"/>
    <row r="2083" customFormat="false" ht="15" hidden="false" customHeight="false" outlineLevel="0" collapsed="false"/>
    <row r="2084" customFormat="false" ht="15" hidden="false" customHeight="false" outlineLevel="0" collapsed="false"/>
    <row r="2085" customFormat="false" ht="15" hidden="false" customHeight="false" outlineLevel="0" collapsed="false"/>
    <row r="2086" customFormat="false" ht="15" hidden="false" customHeight="false" outlineLevel="0" collapsed="false"/>
    <row r="2087" customFormat="false" ht="15" hidden="false" customHeight="false" outlineLevel="0" collapsed="false"/>
    <row r="2088" customFormat="false" ht="15" hidden="false" customHeight="false" outlineLevel="0" collapsed="false"/>
    <row r="2089" customFormat="false" ht="15" hidden="false" customHeight="false" outlineLevel="0" collapsed="false"/>
    <row r="2090" customFormat="false" ht="15" hidden="false" customHeight="false" outlineLevel="0" collapsed="false"/>
    <row r="2091" customFormat="false" ht="15" hidden="false" customHeight="false" outlineLevel="0" collapsed="false"/>
    <row r="2092" customFormat="false" ht="15" hidden="false" customHeight="false" outlineLevel="0" collapsed="false"/>
    <row r="2093" customFormat="false" ht="15" hidden="false" customHeight="false" outlineLevel="0" collapsed="false"/>
    <row r="2094" customFormat="false" ht="15" hidden="false" customHeight="false" outlineLevel="0" collapsed="false"/>
    <row r="2095" customFormat="false" ht="15" hidden="false" customHeight="false" outlineLevel="0" collapsed="false"/>
    <row r="2096" customFormat="false" ht="15" hidden="false" customHeight="false" outlineLevel="0" collapsed="false"/>
    <row r="2097" customFormat="false" ht="15" hidden="false" customHeight="false" outlineLevel="0" collapsed="false"/>
    <row r="2098" customFormat="false" ht="15" hidden="false" customHeight="false" outlineLevel="0" collapsed="false"/>
    <row r="2099" customFormat="false" ht="15" hidden="false" customHeight="false" outlineLevel="0" collapsed="false"/>
    <row r="2100" customFormat="false" ht="15" hidden="false" customHeight="false" outlineLevel="0" collapsed="false"/>
    <row r="2101" customFormat="false" ht="15" hidden="false" customHeight="false" outlineLevel="0" collapsed="false"/>
    <row r="2102" customFormat="false" ht="15" hidden="false" customHeight="false" outlineLevel="0" collapsed="false"/>
    <row r="2103" customFormat="false" ht="15" hidden="false" customHeight="false" outlineLevel="0" collapsed="false"/>
    <row r="2104" customFormat="false" ht="15" hidden="false" customHeight="false" outlineLevel="0" collapsed="false"/>
    <row r="2105" customFormat="false" ht="15" hidden="false" customHeight="false" outlineLevel="0" collapsed="false"/>
    <row r="2106" customFormat="false" ht="15" hidden="false" customHeight="false" outlineLevel="0" collapsed="false"/>
    <row r="2107" customFormat="false" ht="15" hidden="false" customHeight="false" outlineLevel="0" collapsed="false"/>
    <row r="2108" customFormat="false" ht="15" hidden="false" customHeight="false" outlineLevel="0" collapsed="false"/>
    <row r="2109" customFormat="false" ht="15" hidden="false" customHeight="false" outlineLevel="0" collapsed="false"/>
    <row r="2110" customFormat="false" ht="15" hidden="false" customHeight="false" outlineLevel="0" collapsed="false"/>
    <row r="2111" customFormat="false" ht="15" hidden="false" customHeight="false" outlineLevel="0" collapsed="false"/>
    <row r="2112" customFormat="false" ht="15" hidden="false" customHeight="false" outlineLevel="0" collapsed="false"/>
    <row r="2113" customFormat="false" ht="15" hidden="false" customHeight="false" outlineLevel="0" collapsed="false"/>
    <row r="2114" customFormat="false" ht="15" hidden="false" customHeight="false" outlineLevel="0" collapsed="false"/>
    <row r="2115" customFormat="false" ht="15" hidden="false" customHeight="false" outlineLevel="0" collapsed="false"/>
    <row r="2116" customFormat="false" ht="15" hidden="false" customHeight="false" outlineLevel="0" collapsed="false"/>
    <row r="2117" customFormat="false" ht="15" hidden="false" customHeight="false" outlineLevel="0" collapsed="false"/>
    <row r="2118" customFormat="false" ht="15" hidden="false" customHeight="false" outlineLevel="0" collapsed="false"/>
    <row r="2119" customFormat="false" ht="15" hidden="false" customHeight="false" outlineLevel="0" collapsed="false"/>
    <row r="2120" customFormat="false" ht="15" hidden="false" customHeight="false" outlineLevel="0" collapsed="false"/>
    <row r="2121" customFormat="false" ht="15" hidden="false" customHeight="false" outlineLevel="0" collapsed="false"/>
    <row r="2122" customFormat="false" ht="15" hidden="false" customHeight="false" outlineLevel="0" collapsed="false"/>
    <row r="2123" customFormat="false" ht="15" hidden="false" customHeight="false" outlineLevel="0" collapsed="false"/>
    <row r="2124" customFormat="false" ht="15" hidden="false" customHeight="false" outlineLevel="0" collapsed="false"/>
    <row r="2125" customFormat="false" ht="15" hidden="false" customHeight="false" outlineLevel="0" collapsed="false"/>
    <row r="2126" customFormat="false" ht="15" hidden="false" customHeight="false" outlineLevel="0" collapsed="false"/>
    <row r="2127" customFormat="false" ht="15" hidden="false" customHeight="false" outlineLevel="0" collapsed="false"/>
    <row r="2128" customFormat="false" ht="15" hidden="false" customHeight="false" outlineLevel="0" collapsed="false"/>
    <row r="2129" customFormat="false" ht="15" hidden="false" customHeight="false" outlineLevel="0" collapsed="false"/>
    <row r="2130" customFormat="false" ht="15" hidden="false" customHeight="false" outlineLevel="0" collapsed="false"/>
    <row r="2131" customFormat="false" ht="15" hidden="false" customHeight="false" outlineLevel="0" collapsed="false"/>
    <row r="2132" customFormat="false" ht="15" hidden="false" customHeight="false" outlineLevel="0" collapsed="false"/>
    <row r="2133" customFormat="false" ht="15" hidden="false" customHeight="false" outlineLevel="0" collapsed="false"/>
    <row r="2134" customFormat="false" ht="15" hidden="false" customHeight="false" outlineLevel="0" collapsed="false"/>
    <row r="2135" customFormat="false" ht="15" hidden="false" customHeight="false" outlineLevel="0" collapsed="false"/>
    <row r="2136" customFormat="false" ht="15" hidden="false" customHeight="false" outlineLevel="0" collapsed="false"/>
    <row r="2137" customFormat="false" ht="15" hidden="false" customHeight="false" outlineLevel="0" collapsed="false"/>
    <row r="2138" customFormat="false" ht="15" hidden="false" customHeight="false" outlineLevel="0" collapsed="false"/>
    <row r="2139" customFormat="false" ht="15" hidden="false" customHeight="false" outlineLevel="0" collapsed="false"/>
    <row r="2140" customFormat="false" ht="15" hidden="false" customHeight="false" outlineLevel="0" collapsed="false"/>
    <row r="2141" customFormat="false" ht="15" hidden="false" customHeight="false" outlineLevel="0" collapsed="false"/>
    <row r="2142" customFormat="false" ht="15" hidden="false" customHeight="false" outlineLevel="0" collapsed="false"/>
    <row r="2143" customFormat="false" ht="15" hidden="false" customHeight="false" outlineLevel="0" collapsed="false"/>
    <row r="2144" customFormat="false" ht="15" hidden="false" customHeight="false" outlineLevel="0" collapsed="false"/>
    <row r="2145" customFormat="false" ht="15" hidden="false" customHeight="false" outlineLevel="0" collapsed="false"/>
    <row r="2146" customFormat="false" ht="15" hidden="false" customHeight="false" outlineLevel="0" collapsed="false"/>
    <row r="2147" customFormat="false" ht="15" hidden="false" customHeight="false" outlineLevel="0" collapsed="false"/>
    <row r="2148" customFormat="false" ht="15" hidden="false" customHeight="false" outlineLevel="0" collapsed="false"/>
    <row r="2149" customFormat="false" ht="15" hidden="false" customHeight="false" outlineLevel="0" collapsed="false"/>
    <row r="2150" customFormat="false" ht="15" hidden="false" customHeight="false" outlineLevel="0" collapsed="false"/>
    <row r="2151" customFormat="false" ht="15" hidden="false" customHeight="false" outlineLevel="0" collapsed="false"/>
    <row r="2152" customFormat="false" ht="15" hidden="false" customHeight="false" outlineLevel="0" collapsed="false"/>
    <row r="2153" customFormat="false" ht="15" hidden="false" customHeight="false" outlineLevel="0" collapsed="false"/>
    <row r="2154" customFormat="false" ht="15" hidden="false" customHeight="false" outlineLevel="0" collapsed="false"/>
    <row r="2155" customFormat="false" ht="15" hidden="false" customHeight="false" outlineLevel="0" collapsed="false"/>
    <row r="2156" customFormat="false" ht="15" hidden="false" customHeight="false" outlineLevel="0" collapsed="false"/>
    <row r="2157" customFormat="false" ht="15" hidden="false" customHeight="false" outlineLevel="0" collapsed="false"/>
    <row r="2158" customFormat="false" ht="15" hidden="false" customHeight="false" outlineLevel="0" collapsed="false"/>
    <row r="2159" customFormat="false" ht="15" hidden="false" customHeight="false" outlineLevel="0" collapsed="false"/>
    <row r="2160" customFormat="false" ht="15" hidden="false" customHeight="false" outlineLevel="0" collapsed="false"/>
    <row r="2161" customFormat="false" ht="15" hidden="false" customHeight="false" outlineLevel="0" collapsed="false"/>
    <row r="2162" customFormat="false" ht="15" hidden="false" customHeight="false" outlineLevel="0" collapsed="false"/>
    <row r="2163" customFormat="false" ht="15" hidden="false" customHeight="false" outlineLevel="0" collapsed="false"/>
    <row r="2164" customFormat="false" ht="15" hidden="false" customHeight="false" outlineLevel="0" collapsed="false"/>
    <row r="2165" customFormat="false" ht="15" hidden="false" customHeight="false" outlineLevel="0" collapsed="false"/>
    <row r="2166" customFormat="false" ht="15" hidden="false" customHeight="false" outlineLevel="0" collapsed="false"/>
    <row r="2167" customFormat="false" ht="15" hidden="false" customHeight="false" outlineLevel="0" collapsed="false"/>
    <row r="2168" customFormat="false" ht="15" hidden="false" customHeight="false" outlineLevel="0" collapsed="false"/>
    <row r="2169" customFormat="false" ht="15" hidden="false" customHeight="false" outlineLevel="0" collapsed="false"/>
    <row r="2170" customFormat="false" ht="15" hidden="false" customHeight="false" outlineLevel="0" collapsed="false"/>
    <row r="2171" customFormat="false" ht="15" hidden="false" customHeight="false" outlineLevel="0" collapsed="false"/>
    <row r="2172" customFormat="false" ht="15" hidden="false" customHeight="false" outlineLevel="0" collapsed="false"/>
    <row r="2173" customFormat="false" ht="15" hidden="false" customHeight="false" outlineLevel="0" collapsed="false"/>
    <row r="2174" customFormat="false" ht="15" hidden="false" customHeight="false" outlineLevel="0" collapsed="false"/>
    <row r="2175" customFormat="false" ht="15" hidden="false" customHeight="false" outlineLevel="0" collapsed="false"/>
    <row r="2176" customFormat="false" ht="15" hidden="false" customHeight="false" outlineLevel="0" collapsed="false"/>
    <row r="2177" customFormat="false" ht="15" hidden="false" customHeight="false" outlineLevel="0" collapsed="false"/>
    <row r="2178" customFormat="false" ht="15" hidden="false" customHeight="false" outlineLevel="0" collapsed="false"/>
    <row r="2179" customFormat="false" ht="15" hidden="false" customHeight="false" outlineLevel="0" collapsed="false"/>
    <row r="2180" customFormat="false" ht="15" hidden="false" customHeight="false" outlineLevel="0" collapsed="false"/>
    <row r="2181" customFormat="false" ht="15" hidden="false" customHeight="false" outlineLevel="0" collapsed="false"/>
    <row r="2182" customFormat="false" ht="15" hidden="false" customHeight="false" outlineLevel="0" collapsed="false"/>
    <row r="2183" customFormat="false" ht="15" hidden="false" customHeight="false" outlineLevel="0" collapsed="false"/>
    <row r="2184" customFormat="false" ht="15" hidden="false" customHeight="false" outlineLevel="0" collapsed="false"/>
    <row r="2185" customFormat="false" ht="15" hidden="false" 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llapsed="false"/>
    <row r="2188" customFormat="false" ht="15" hidden="false" customHeight="false" outlineLevel="0" collapsed="false"/>
    <row r="2189" customFormat="false" ht="15" hidden="false" customHeight="false" outlineLevel="0" collapsed="false"/>
    <row r="2190" customFormat="false" ht="15" hidden="false" customHeight="false" outlineLevel="0" collapsed="false"/>
    <row r="2191" customFormat="false" ht="15" hidden="false" customHeight="false" outlineLevel="0" collapsed="false"/>
    <row r="2192" customFormat="false" ht="15" hidden="false" customHeight="false" outlineLevel="0" collapsed="false"/>
    <row r="2193" customFormat="false" ht="15" hidden="false" customHeight="false" outlineLevel="0" collapsed="false"/>
    <row r="2194" customFormat="false" ht="15" hidden="false" customHeight="false" outlineLevel="0" collapsed="false"/>
    <row r="2195" customFormat="false" ht="15" hidden="false" customHeight="false" outlineLevel="0" collapsed="false"/>
    <row r="2196" customFormat="false" ht="15" hidden="false" customHeight="false" outlineLevel="0" collapsed="false"/>
    <row r="2197" customFormat="false" ht="15" hidden="false" customHeight="false" outlineLevel="0" collapsed="false"/>
    <row r="2198" customFormat="false" ht="15" hidden="false" customHeight="false" outlineLevel="0" collapsed="false"/>
    <row r="2199" customFormat="false" ht="15" hidden="false" customHeight="false" outlineLevel="0" collapsed="false"/>
    <row r="2200" customFormat="false" ht="15" hidden="false" customHeight="false" outlineLevel="0" collapsed="false"/>
    <row r="2201" customFormat="false" ht="15" hidden="false" customHeight="false" outlineLevel="0" collapsed="false"/>
    <row r="2202" customFormat="false" ht="15" hidden="false" customHeight="false" outlineLevel="0" collapsed="false"/>
    <row r="2203" customFormat="false" ht="15" hidden="false" customHeight="false" outlineLevel="0" collapsed="false"/>
    <row r="2204" customFormat="false" ht="15" hidden="false" customHeight="false" outlineLevel="0" collapsed="false"/>
    <row r="2205" customFormat="false" ht="15" hidden="false" customHeight="false" outlineLevel="0" collapsed="false"/>
    <row r="2206" customFormat="false" ht="15" hidden="false" customHeight="false" outlineLevel="0" collapsed="false"/>
    <row r="2207" customFormat="false" ht="15" hidden="false" customHeight="false" outlineLevel="0" collapsed="false"/>
    <row r="2208" customFormat="false" ht="15" hidden="false" customHeight="false" outlineLevel="0" collapsed="false"/>
    <row r="2209" customFormat="false" ht="15" hidden="false" customHeight="false" outlineLevel="0" collapsed="false"/>
    <row r="2210" customFormat="false" ht="15" hidden="false" customHeight="false" outlineLevel="0" collapsed="false"/>
    <row r="2211" customFormat="false" ht="15" hidden="false" customHeight="false" outlineLevel="0" collapsed="false"/>
    <row r="2212" customFormat="false" ht="15" hidden="false" customHeight="false" outlineLevel="0" collapsed="false"/>
    <row r="2213" customFormat="false" ht="15" hidden="false" customHeight="false" outlineLevel="0" collapsed="false"/>
    <row r="2214" customFormat="false" ht="15" hidden="false" customHeight="false" outlineLevel="0" collapsed="false"/>
    <row r="2215" customFormat="false" ht="15" hidden="false" customHeight="false" outlineLevel="0" collapsed="false"/>
    <row r="2216" customFormat="false" ht="15" hidden="false" customHeight="false" outlineLevel="0" collapsed="false"/>
    <row r="2217" customFormat="false" ht="15" hidden="false" customHeight="false" outlineLevel="0" collapsed="false"/>
    <row r="2218" customFormat="false" ht="15" hidden="false" customHeight="false" outlineLevel="0" collapsed="false"/>
    <row r="2219" customFormat="false" ht="15" hidden="false" customHeight="false" outlineLevel="0" collapsed="false"/>
    <row r="2220" customFormat="false" ht="15" hidden="false" customHeight="false" outlineLevel="0" collapsed="false"/>
    <row r="2221" customFormat="false" ht="15" hidden="false" customHeight="false" outlineLevel="0" collapsed="false"/>
    <row r="2222" customFormat="false" ht="15" hidden="false" customHeight="false" outlineLevel="0" collapsed="false"/>
    <row r="2223" customFormat="false" ht="15" hidden="false" customHeight="false" outlineLevel="0" collapsed="false"/>
    <row r="2224" customFormat="false" ht="15" hidden="false" customHeight="false" outlineLevel="0" collapsed="false"/>
    <row r="2225" customFormat="false" ht="15" hidden="false" customHeight="false" outlineLevel="0" collapsed="false"/>
    <row r="2226" customFormat="false" ht="15" hidden="false" customHeight="false" outlineLevel="0" collapsed="false"/>
    <row r="2227" customFormat="false" ht="15" hidden="false" customHeight="false" outlineLevel="0" collapsed="false"/>
    <row r="2228" customFormat="false" ht="15" hidden="false" customHeight="false" outlineLevel="0" collapsed="false"/>
    <row r="2229" customFormat="false" ht="15" hidden="false" customHeight="false" outlineLevel="0" collapsed="false"/>
    <row r="2230" customFormat="false" ht="15" hidden="false" customHeight="false" outlineLevel="0" collapsed="false"/>
    <row r="2231" customFormat="false" ht="15" hidden="false" customHeight="false" outlineLevel="0" collapsed="false"/>
    <row r="2232" customFormat="false" ht="15" hidden="false" customHeight="false" outlineLevel="0" collapsed="false"/>
    <row r="2233" customFormat="false" ht="15" hidden="false" customHeight="false" outlineLevel="0" collapsed="false"/>
    <row r="2234" customFormat="false" ht="15" hidden="false" customHeight="false" outlineLevel="0" collapsed="false"/>
    <row r="2235" customFormat="false" ht="15" hidden="false" customHeight="false" outlineLevel="0" collapsed="false"/>
    <row r="2236" customFormat="false" ht="15" hidden="false" customHeight="false" outlineLevel="0" collapsed="false"/>
    <row r="2237" customFormat="false" ht="15" hidden="false" customHeight="false" outlineLevel="0" collapsed="false"/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5" hidden="false" customHeight="false" outlineLevel="0" collapsed="false"/>
    <row r="2242" customFormat="false" ht="15" hidden="false" customHeight="false" outlineLevel="0" collapsed="false"/>
    <row r="2243" customFormat="false" ht="15" hidden="false" customHeight="false" outlineLevel="0" collapsed="false"/>
    <row r="2244" customFormat="false" ht="15" hidden="false" customHeight="false" outlineLevel="0" collapsed="false"/>
    <row r="2245" customFormat="false" ht="15" hidden="false" customHeight="false" outlineLevel="0" collapsed="false"/>
    <row r="2246" customFormat="false" ht="15" hidden="false" customHeight="false" outlineLevel="0" collapsed="false"/>
    <row r="2247" customFormat="false" ht="15" hidden="false" customHeight="false" outlineLevel="0" collapsed="false"/>
    <row r="2248" customFormat="false" ht="15" hidden="false" customHeight="false" outlineLevel="0" collapsed="false"/>
    <row r="2249" customFormat="false" ht="15" hidden="false" customHeight="false" outlineLevel="0" collapsed="false"/>
    <row r="2250" customFormat="false" ht="15" hidden="false" customHeight="false" outlineLevel="0" collapsed="false"/>
    <row r="2251" customFormat="false" ht="15" hidden="false" customHeight="false" outlineLevel="0" collapsed="false"/>
    <row r="2252" customFormat="false" ht="15" hidden="false" customHeight="false" outlineLevel="0" collapsed="false"/>
    <row r="2253" customFormat="false" ht="15" hidden="false" customHeight="false" outlineLevel="0" collapsed="false"/>
    <row r="2254" customFormat="false" ht="15" hidden="false" customHeight="false" outlineLevel="0" collapsed="false"/>
    <row r="2255" customFormat="false" ht="15" hidden="false" customHeight="false" outlineLevel="0" collapsed="false"/>
    <row r="2256" customFormat="false" ht="15" hidden="false" customHeight="false" outlineLevel="0" collapsed="false"/>
    <row r="2257" customFormat="false" ht="15" hidden="false" customHeight="false" outlineLevel="0" collapsed="false"/>
    <row r="2258" customFormat="false" ht="15" hidden="false" customHeight="false" outlineLevel="0" collapsed="false"/>
    <row r="2259" customFormat="false" ht="15" hidden="false" customHeight="false" outlineLevel="0" collapsed="false"/>
    <row r="2260" customFormat="false" ht="15" hidden="false" customHeight="false" outlineLevel="0" collapsed="false"/>
    <row r="2261" customFormat="false" ht="15" hidden="false" customHeight="false" outlineLevel="0" collapsed="false"/>
    <row r="2262" customFormat="false" ht="15" hidden="false" customHeight="false" outlineLevel="0" collapsed="false"/>
    <row r="2263" customFormat="false" ht="15" hidden="false" customHeight="false" outlineLevel="0" collapsed="false"/>
    <row r="2264" customFormat="false" ht="15" hidden="false" customHeight="false" outlineLevel="0" collapsed="false"/>
    <row r="2265" customFormat="false" ht="15" hidden="false" customHeight="false" outlineLevel="0" collapsed="false"/>
    <row r="2266" customFormat="false" ht="15" hidden="false" customHeight="false" outlineLevel="0" collapsed="false"/>
    <row r="2267" customFormat="false" ht="15" hidden="false" customHeight="false" outlineLevel="0" collapsed="false"/>
    <row r="2268" customFormat="false" ht="15" hidden="false" customHeight="false" outlineLevel="0" collapsed="false"/>
    <row r="2269" customFormat="false" ht="15" hidden="false" customHeight="false" outlineLevel="0" collapsed="false"/>
    <row r="2270" customFormat="false" ht="15" hidden="false" customHeight="false" outlineLevel="0" collapsed="false"/>
    <row r="2271" customFormat="false" ht="15" hidden="false" customHeight="false" outlineLevel="0" collapsed="false"/>
    <row r="2272" customFormat="false" ht="15" hidden="false" customHeight="false" outlineLevel="0" collapsed="false"/>
    <row r="2273" customFormat="false" ht="15" hidden="false" customHeight="false" outlineLevel="0" collapsed="false"/>
    <row r="2274" customFormat="false" ht="15" hidden="false" customHeight="false" outlineLevel="0" collapsed="false"/>
    <row r="2275" customFormat="false" ht="15" hidden="false" customHeight="false" outlineLevel="0" collapsed="false"/>
    <row r="2276" customFormat="false" ht="15" hidden="false" customHeight="false" outlineLevel="0" collapsed="false"/>
    <row r="2277" customFormat="false" ht="15" hidden="false" customHeight="false" outlineLevel="0" collapsed="false"/>
    <row r="2278" customFormat="false" ht="15" hidden="false" customHeight="false" outlineLevel="0" collapsed="false"/>
    <row r="2279" customFormat="false" ht="15" hidden="false" customHeight="false" outlineLevel="0" collapsed="false"/>
    <row r="2280" customFormat="false" ht="15" hidden="false" customHeight="false" outlineLevel="0" collapsed="false"/>
    <row r="2281" customFormat="false" ht="15" hidden="false" customHeight="false" outlineLevel="0" collapsed="false"/>
    <row r="2282" customFormat="false" ht="15" hidden="false" customHeight="false" outlineLevel="0" collapsed="false"/>
    <row r="2283" customFormat="false" ht="15" hidden="false" customHeight="false" outlineLevel="0" collapsed="false"/>
    <row r="2284" customFormat="false" ht="15" hidden="false" customHeight="false" outlineLevel="0" collapsed="false"/>
    <row r="2285" customFormat="false" ht="15" hidden="false" customHeight="false" outlineLevel="0" collapsed="false"/>
    <row r="2286" customFormat="false" ht="15" hidden="false" customHeight="false" outlineLevel="0" collapsed="false"/>
    <row r="2287" customFormat="false" ht="15" hidden="false" customHeight="false" outlineLevel="0" collapsed="false"/>
    <row r="2288" customFormat="false" ht="15" hidden="false" customHeight="false" outlineLevel="0" collapsed="false"/>
    <row r="2289" customFormat="false" ht="15" hidden="false" customHeight="false" outlineLevel="0" collapsed="false"/>
    <row r="2290" customFormat="false" ht="15" hidden="false" customHeight="false" outlineLevel="0" collapsed="false"/>
    <row r="2291" customFormat="false" ht="15" hidden="false" customHeight="false" outlineLevel="0" collapsed="false"/>
    <row r="2292" customFormat="false" ht="15" hidden="false" customHeight="false" outlineLevel="0" collapsed="false"/>
    <row r="2293" customFormat="false" ht="15" hidden="false" customHeight="false" outlineLevel="0" collapsed="false"/>
    <row r="2294" customFormat="false" ht="15" hidden="false" customHeight="false" outlineLevel="0" collapsed="false"/>
    <row r="2295" customFormat="false" ht="15" hidden="false" customHeight="false" outlineLevel="0" collapsed="false"/>
    <row r="2296" customFormat="false" ht="15" hidden="false" customHeight="false" outlineLevel="0" collapsed="false"/>
    <row r="2297" customFormat="false" ht="15" hidden="false" customHeight="false" outlineLevel="0" collapsed="false"/>
    <row r="2298" customFormat="false" ht="15" hidden="false" customHeight="false" outlineLevel="0" collapsed="false"/>
    <row r="2299" customFormat="false" ht="15" hidden="false" customHeight="false" outlineLevel="0" collapsed="false"/>
    <row r="2300" customFormat="false" ht="15" hidden="false" customHeight="false" outlineLevel="0" collapsed="false"/>
    <row r="2301" customFormat="false" ht="15" hidden="false" customHeight="false" outlineLevel="0" collapsed="false"/>
    <row r="2302" customFormat="false" ht="15" hidden="false" customHeight="false" outlineLevel="0" collapsed="false"/>
    <row r="2303" customFormat="false" ht="15" hidden="false" customHeight="false" outlineLevel="0" collapsed="false"/>
    <row r="2304" customFormat="false" ht="15" hidden="false" customHeight="false" outlineLevel="0" collapsed="false"/>
    <row r="2305" customFormat="false" ht="15" hidden="false" customHeight="false" outlineLevel="0" collapsed="false"/>
    <row r="2306" customFormat="false" ht="15" hidden="false" customHeight="false" outlineLevel="0" collapsed="false"/>
    <row r="2307" customFormat="false" ht="15" hidden="false" customHeight="false" outlineLevel="0" collapsed="false"/>
    <row r="2308" customFormat="false" ht="15" hidden="false" customHeight="false" outlineLevel="0" collapsed="false"/>
    <row r="2309" customFormat="false" ht="15" hidden="false" customHeight="false" outlineLevel="0" collapsed="false"/>
    <row r="2310" customFormat="false" ht="15" hidden="false" customHeight="false" outlineLevel="0" collapsed="false"/>
    <row r="2311" customFormat="false" ht="15" hidden="false" customHeight="false" outlineLevel="0" collapsed="false"/>
    <row r="2312" customFormat="false" ht="15" hidden="false" customHeight="false" outlineLevel="0" collapsed="false"/>
    <row r="2313" customFormat="false" ht="15" hidden="false" customHeight="false" outlineLevel="0" collapsed="false"/>
    <row r="2314" customFormat="false" ht="15" hidden="false" customHeight="false" outlineLevel="0" collapsed="false"/>
    <row r="2315" customFormat="false" ht="15" hidden="false" customHeight="false" outlineLevel="0" collapsed="false"/>
    <row r="2316" customFormat="false" ht="15" hidden="false" customHeight="false" outlineLevel="0" collapsed="false"/>
    <row r="2317" customFormat="false" ht="15" hidden="false" customHeight="false" outlineLevel="0" collapsed="false"/>
    <row r="2318" customFormat="false" ht="15" hidden="false" customHeight="false" outlineLevel="0" collapsed="false"/>
    <row r="2319" customFormat="false" ht="15" hidden="false" customHeight="false" outlineLevel="0" collapsed="false"/>
    <row r="2320" customFormat="false" ht="15" hidden="false" customHeight="false" outlineLevel="0" collapsed="false"/>
    <row r="2321" customFormat="false" ht="15" hidden="false" customHeight="false" outlineLevel="0" collapsed="false"/>
    <row r="2322" customFormat="false" ht="15" hidden="false" customHeight="false" outlineLevel="0" collapsed="false"/>
    <row r="2323" customFormat="false" ht="15" hidden="false" customHeight="false" outlineLevel="0" collapsed="false"/>
    <row r="2324" customFormat="false" ht="15" hidden="false" customHeight="false" outlineLevel="0" collapsed="false"/>
    <row r="2325" customFormat="false" ht="15" hidden="false" customHeight="false" outlineLevel="0" collapsed="false"/>
    <row r="2326" customFormat="false" ht="15" hidden="false" customHeight="false" outlineLevel="0" collapsed="false"/>
    <row r="2327" customFormat="false" ht="15" hidden="false" customHeight="false" outlineLevel="0" collapsed="false"/>
    <row r="2328" customFormat="false" ht="15" hidden="false" customHeight="false" outlineLevel="0" collapsed="false"/>
    <row r="2329" customFormat="false" ht="15" hidden="false" customHeight="false" outlineLevel="0" collapsed="false"/>
    <row r="2330" customFormat="false" ht="15" hidden="false" customHeight="false" outlineLevel="0" collapsed="false"/>
    <row r="2331" customFormat="false" ht="15" hidden="false" customHeight="false" outlineLevel="0" collapsed="false"/>
    <row r="2332" customFormat="false" ht="15" hidden="false" customHeight="false" outlineLevel="0" collapsed="false"/>
    <row r="2333" customFormat="false" ht="15" hidden="false" customHeight="false" outlineLevel="0" collapsed="false"/>
    <row r="2334" customFormat="false" ht="15" hidden="false" customHeight="false" outlineLevel="0" collapsed="false"/>
    <row r="2335" customFormat="false" ht="15" hidden="false" customHeight="false" outlineLevel="0" collapsed="false"/>
    <row r="2336" customFormat="false" ht="15" hidden="false" customHeight="false" outlineLevel="0" collapsed="false"/>
    <row r="2337" customFormat="false" ht="15" hidden="false" customHeight="false" outlineLevel="0" collapsed="false"/>
    <row r="2338" customFormat="false" ht="15" hidden="false" customHeight="false" outlineLevel="0" collapsed="false"/>
    <row r="2339" customFormat="false" ht="15" hidden="false" customHeight="false" outlineLevel="0" collapsed="false"/>
    <row r="2340" customFormat="false" ht="15" hidden="false" customHeight="false" outlineLevel="0" collapsed="false"/>
    <row r="2341" customFormat="false" ht="15" hidden="false" customHeight="false" outlineLevel="0" collapsed="false"/>
    <row r="2342" customFormat="false" ht="15" hidden="false" customHeight="false" outlineLevel="0" collapsed="false"/>
    <row r="2343" customFormat="false" ht="15" hidden="false" customHeight="false" outlineLevel="0" collapsed="false"/>
    <row r="2344" customFormat="false" ht="15" hidden="false" customHeight="false" outlineLevel="0" collapsed="false"/>
    <row r="2345" customFormat="false" ht="15" hidden="false" customHeight="false" outlineLevel="0" collapsed="false"/>
    <row r="2346" customFormat="false" ht="15" hidden="false" customHeight="false" outlineLevel="0" collapsed="false"/>
    <row r="2347" customFormat="false" ht="15" hidden="false" customHeight="false" outlineLevel="0" collapsed="false"/>
    <row r="2348" customFormat="false" ht="15" hidden="false" customHeight="false" outlineLevel="0" collapsed="false"/>
    <row r="2349" customFormat="false" ht="15" hidden="false" customHeight="false" outlineLevel="0" collapsed="false"/>
    <row r="2350" customFormat="false" ht="15" hidden="false" customHeight="false" outlineLevel="0" collapsed="false"/>
    <row r="2351" customFormat="false" ht="15" hidden="false" customHeight="false" outlineLevel="0" collapsed="false"/>
    <row r="2352" customFormat="false" ht="15" hidden="false" customHeight="false" outlineLevel="0" collapsed="false"/>
    <row r="2353" customFormat="false" ht="15" hidden="false" customHeight="false" outlineLevel="0" collapsed="false"/>
    <row r="2354" customFormat="false" ht="15" hidden="false" customHeight="false" outlineLevel="0" collapsed="false"/>
    <row r="2355" customFormat="false" ht="15" hidden="false" customHeight="false" outlineLevel="0" collapsed="false"/>
    <row r="2356" customFormat="false" ht="15" hidden="false" customHeight="false" outlineLevel="0" collapsed="false"/>
    <row r="2357" customFormat="false" ht="15" hidden="false" customHeight="false" outlineLevel="0" collapsed="false"/>
    <row r="2358" customFormat="false" ht="15" hidden="false" customHeight="false" outlineLevel="0" collapsed="false"/>
    <row r="2359" customFormat="false" ht="15" hidden="false" customHeight="false" outlineLevel="0" collapsed="false"/>
    <row r="2360" customFormat="false" ht="15" hidden="false" customHeight="false" outlineLevel="0" collapsed="false"/>
    <row r="2361" customFormat="false" ht="15" hidden="false" customHeight="false" outlineLevel="0" collapsed="false"/>
    <row r="2362" customFormat="false" ht="15" hidden="false" customHeight="false" outlineLevel="0" collapsed="false"/>
    <row r="2363" customFormat="false" ht="15" hidden="false" customHeight="false" outlineLevel="0" collapsed="false"/>
    <row r="2364" customFormat="false" ht="15" hidden="false" customHeight="false" outlineLevel="0" collapsed="false"/>
    <row r="2365" customFormat="false" ht="15" hidden="false" customHeight="false" outlineLevel="0" collapsed="false"/>
    <row r="2366" customFormat="false" ht="15" hidden="false" customHeight="false" outlineLevel="0" collapsed="false"/>
    <row r="2367" customFormat="false" ht="15" hidden="false" customHeight="false" outlineLevel="0" collapsed="false"/>
    <row r="2368" customFormat="false" ht="15" hidden="false" customHeight="false" outlineLevel="0" collapsed="false"/>
    <row r="2369" customFormat="false" ht="15" hidden="false" customHeight="false" outlineLevel="0" collapsed="false"/>
    <row r="2370" customFormat="false" ht="15" hidden="false" customHeight="false" outlineLevel="0" collapsed="false"/>
    <row r="2371" customFormat="false" ht="15" hidden="false" customHeight="false" outlineLevel="0" collapsed="false"/>
    <row r="2372" customFormat="false" ht="15" hidden="false" customHeight="false" outlineLevel="0" collapsed="false"/>
    <row r="2373" customFormat="false" ht="15" hidden="false" customHeight="false" outlineLevel="0" collapsed="false"/>
    <row r="2374" customFormat="false" ht="15" hidden="false" customHeight="false" outlineLevel="0" collapsed="false"/>
    <row r="2375" customFormat="false" ht="15" hidden="false" customHeight="false" outlineLevel="0" collapsed="false"/>
    <row r="2376" customFormat="false" ht="15" hidden="false" customHeight="false" outlineLevel="0" collapsed="false"/>
    <row r="2377" customFormat="false" ht="15" hidden="false" customHeight="false" outlineLevel="0" collapsed="false"/>
    <row r="2378" customFormat="false" ht="15" hidden="false" customHeight="false" outlineLevel="0" collapsed="false"/>
    <row r="2379" customFormat="false" ht="15" hidden="false" customHeight="false" outlineLevel="0" collapsed="false"/>
    <row r="2380" customFormat="false" ht="15" hidden="false" customHeight="false" outlineLevel="0" collapsed="false"/>
    <row r="2381" customFormat="false" ht="15" hidden="false" customHeight="false" outlineLevel="0" collapsed="false"/>
    <row r="2382" customFormat="false" ht="15" hidden="false" customHeight="false" outlineLevel="0" collapsed="false"/>
    <row r="2383" customFormat="false" ht="15" hidden="false" customHeight="false" outlineLevel="0" collapsed="false"/>
    <row r="2384" customFormat="false" ht="15" hidden="false" customHeight="false" outlineLevel="0" collapsed="false"/>
    <row r="2385" customFormat="false" ht="15" hidden="false" customHeight="false" outlineLevel="0" collapsed="false"/>
    <row r="2386" customFormat="false" ht="15" hidden="false" customHeight="false" outlineLevel="0" collapsed="false"/>
    <row r="2387" customFormat="false" ht="15" hidden="false" customHeight="false" outlineLevel="0" collapsed="false"/>
    <row r="2388" customFormat="false" ht="15" hidden="false" customHeight="false" outlineLevel="0" collapsed="false"/>
    <row r="2389" customFormat="false" ht="15" hidden="false" customHeight="false" outlineLevel="0" collapsed="false"/>
    <row r="2390" customFormat="false" ht="15" hidden="false" customHeight="false" outlineLevel="0" collapsed="false"/>
    <row r="2391" customFormat="false" ht="15" hidden="false" customHeight="false" outlineLevel="0" collapsed="false"/>
    <row r="2392" customFormat="false" ht="15" hidden="false" customHeight="false" outlineLevel="0" collapsed="false"/>
    <row r="2393" customFormat="false" ht="15" hidden="false" customHeight="false" outlineLevel="0" collapsed="false"/>
    <row r="2394" customFormat="false" ht="15" hidden="false" customHeight="false" outlineLevel="0" collapsed="false"/>
    <row r="2395" customFormat="false" ht="15" hidden="false" customHeight="false" outlineLevel="0" collapsed="false"/>
    <row r="2396" customFormat="false" ht="15" hidden="false" customHeight="false" outlineLevel="0" collapsed="false"/>
    <row r="2397" customFormat="false" ht="15" hidden="false" customHeight="false" outlineLevel="0" collapsed="false"/>
    <row r="2398" customFormat="false" ht="15" hidden="false" customHeight="false" outlineLevel="0" collapsed="false"/>
    <row r="2399" customFormat="false" ht="15" hidden="false" customHeight="false" outlineLevel="0" collapsed="false"/>
    <row r="2400" customFormat="false" ht="15" hidden="false" customHeight="false" outlineLevel="0" collapsed="false"/>
    <row r="2401" customFormat="false" ht="15" hidden="false" customHeight="false" outlineLevel="0" collapsed="false"/>
    <row r="2402" customFormat="false" ht="15" hidden="false" customHeight="false" outlineLevel="0" collapsed="false"/>
    <row r="2403" customFormat="false" ht="15" hidden="false" customHeight="false" outlineLevel="0" collapsed="false"/>
    <row r="2404" customFormat="false" ht="15" hidden="false" customHeight="false" outlineLevel="0" collapsed="false"/>
    <row r="2405" customFormat="false" ht="15" hidden="false" customHeight="false" outlineLevel="0" collapsed="false"/>
    <row r="2406" customFormat="false" ht="15" hidden="false" customHeight="false" outlineLevel="0" collapsed="false"/>
    <row r="2407" customFormat="false" ht="15" hidden="false" customHeight="false" outlineLevel="0" collapsed="false"/>
    <row r="2408" customFormat="false" ht="15" hidden="false" customHeight="false" outlineLevel="0" collapsed="false"/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/>
    <row r="2412" customFormat="false" ht="15" hidden="false" customHeight="false" outlineLevel="0" collapsed="false"/>
    <row r="2413" customFormat="false" ht="15" hidden="false" customHeight="false" outlineLevel="0" collapsed="false"/>
    <row r="2414" customFormat="false" ht="15" hidden="false" customHeight="false" outlineLevel="0" collapsed="false"/>
    <row r="2415" customFormat="false" ht="15" hidden="false" customHeight="false" outlineLevel="0" collapsed="false"/>
    <row r="2416" customFormat="false" ht="15" hidden="false" customHeight="false" outlineLevel="0" collapsed="false"/>
    <row r="2417" customFormat="false" ht="15" hidden="false" customHeight="false" outlineLevel="0" collapsed="false"/>
    <row r="2418" customFormat="false" ht="15" hidden="false" customHeight="false" outlineLevel="0" collapsed="false"/>
    <row r="2419" customFormat="false" ht="15" hidden="false" customHeight="false" outlineLevel="0" collapsed="false"/>
    <row r="2420" customFormat="false" ht="15" hidden="false" customHeight="false" outlineLevel="0" collapsed="false"/>
    <row r="2421" customFormat="false" ht="15" hidden="false" customHeight="false" outlineLevel="0" collapsed="false"/>
    <row r="2422" customFormat="false" ht="15" hidden="false" customHeight="false" outlineLevel="0" collapsed="false"/>
    <row r="2423" customFormat="false" ht="15" hidden="false" customHeight="false" outlineLevel="0" collapsed="false"/>
    <row r="2424" customFormat="false" ht="15" hidden="false" customHeight="false" outlineLevel="0" collapsed="false"/>
    <row r="2425" customFormat="false" ht="15" hidden="false" customHeight="false" outlineLevel="0" collapsed="false"/>
    <row r="2426" customFormat="false" ht="15" hidden="false" customHeight="false" outlineLevel="0" collapsed="false"/>
    <row r="2427" customFormat="false" ht="15" hidden="false" customHeight="false" outlineLevel="0" collapsed="false"/>
    <row r="2428" customFormat="false" ht="15" hidden="false" customHeight="false" outlineLevel="0" collapsed="false"/>
    <row r="2429" customFormat="false" ht="15" hidden="false" customHeight="false" outlineLevel="0" collapsed="false"/>
    <row r="2430" customFormat="false" ht="15" hidden="false" customHeight="false" outlineLevel="0" collapsed="false"/>
    <row r="2431" customFormat="false" ht="15" hidden="false" customHeight="false" outlineLevel="0" collapsed="false"/>
    <row r="2432" customFormat="false" ht="15" hidden="false" customHeight="false" outlineLevel="0" collapsed="false"/>
    <row r="2433" customFormat="false" ht="15" hidden="false" customHeight="false" outlineLevel="0" collapsed="false"/>
    <row r="2434" customFormat="false" ht="15" hidden="false" customHeight="false" outlineLevel="0" collapsed="false"/>
    <row r="2435" customFormat="false" ht="15" hidden="false" customHeight="false" outlineLevel="0" collapsed="false"/>
    <row r="2436" customFormat="false" ht="15" hidden="false" customHeight="false" outlineLevel="0" collapsed="false"/>
    <row r="2437" customFormat="false" ht="15" hidden="false" customHeight="false" outlineLevel="0" collapsed="false"/>
    <row r="2438" customFormat="false" ht="15" hidden="false" customHeight="false" outlineLevel="0" collapsed="false"/>
    <row r="2439" customFormat="false" ht="15" hidden="false" customHeight="false" outlineLevel="0" collapsed="false"/>
    <row r="2440" customFormat="false" ht="15" hidden="false" customHeight="false" outlineLevel="0" collapsed="false"/>
    <row r="2441" customFormat="false" ht="15" hidden="false" customHeight="false" outlineLevel="0" collapsed="false"/>
    <row r="2442" customFormat="false" ht="15" hidden="false" customHeight="false" outlineLevel="0" collapsed="false"/>
    <row r="2443" customFormat="false" ht="15" hidden="false" customHeight="false" outlineLevel="0" collapsed="false"/>
    <row r="2444" customFormat="false" ht="15" hidden="false" customHeight="false" outlineLevel="0" collapsed="false"/>
    <row r="2445" customFormat="false" ht="15" hidden="false" customHeight="false" outlineLevel="0" collapsed="false"/>
    <row r="2446" customFormat="false" ht="15" hidden="false" customHeight="false" outlineLevel="0" collapsed="false"/>
    <row r="2447" customFormat="false" ht="15" hidden="false" customHeight="false" outlineLevel="0" collapsed="false"/>
    <row r="2448" customFormat="false" ht="15" hidden="false" customHeight="false" outlineLevel="0" collapsed="false"/>
    <row r="2449" customFormat="false" ht="15" hidden="false" customHeight="false" outlineLevel="0" collapsed="false"/>
    <row r="2450" customFormat="false" ht="15" hidden="false" customHeight="false" outlineLevel="0" collapsed="false"/>
    <row r="2451" customFormat="false" ht="15" hidden="false" customHeight="false" outlineLevel="0" collapsed="false"/>
    <row r="2452" customFormat="false" ht="15" hidden="false" customHeight="false" outlineLevel="0" collapsed="false"/>
    <row r="2453" customFormat="false" ht="15" hidden="false" customHeight="false" outlineLevel="0" collapsed="false"/>
    <row r="2454" customFormat="false" ht="15" hidden="false" customHeight="false" outlineLevel="0" collapsed="false"/>
    <row r="2455" customFormat="false" ht="15" hidden="false" customHeight="false" outlineLevel="0" collapsed="false"/>
    <row r="2456" customFormat="false" ht="15" hidden="false" customHeight="false" outlineLevel="0" collapsed="false"/>
    <row r="2457" customFormat="false" ht="15" hidden="false" customHeight="false" outlineLevel="0" collapsed="false"/>
    <row r="2458" customFormat="false" ht="15" hidden="false" customHeight="false" outlineLevel="0" collapsed="false"/>
    <row r="2459" customFormat="false" ht="15" hidden="false" customHeight="false" outlineLevel="0" collapsed="false"/>
    <row r="2460" customFormat="false" ht="15" hidden="false" customHeight="false" outlineLevel="0" collapsed="false"/>
    <row r="2461" customFormat="false" ht="15" hidden="false" customHeight="false" outlineLevel="0" collapsed="false"/>
    <row r="2462" customFormat="false" ht="15" hidden="false" customHeight="false" outlineLevel="0" collapsed="false"/>
    <row r="2463" customFormat="false" ht="15" hidden="false" customHeight="false" outlineLevel="0" collapsed="false"/>
    <row r="2464" customFormat="false" ht="15" hidden="false" customHeight="false" outlineLevel="0" collapsed="false"/>
    <row r="2465" customFormat="false" ht="15" hidden="false" customHeight="false" outlineLevel="0" collapsed="false"/>
    <row r="2466" customFormat="false" ht="15" hidden="false" customHeight="false" outlineLevel="0" collapsed="false"/>
    <row r="2467" customFormat="false" ht="15" hidden="false" customHeight="false" outlineLevel="0" collapsed="false"/>
    <row r="2468" customFormat="false" ht="15" hidden="false" customHeight="false" outlineLevel="0" collapsed="false"/>
    <row r="2469" customFormat="false" ht="15" hidden="false" customHeight="false" outlineLevel="0" collapsed="false"/>
    <row r="2470" customFormat="false" ht="15" hidden="false" customHeight="false" outlineLevel="0" collapsed="false"/>
    <row r="2471" customFormat="false" ht="15" hidden="false" customHeight="false" outlineLevel="0" collapsed="false"/>
    <row r="2472" customFormat="false" ht="15" hidden="false" customHeight="false" outlineLevel="0" collapsed="false"/>
    <row r="2473" customFormat="false" ht="15" hidden="false" customHeight="false" outlineLevel="0" collapsed="false"/>
    <row r="2474" customFormat="false" ht="15" hidden="false" customHeight="false" outlineLevel="0" collapsed="false"/>
    <row r="2475" customFormat="false" ht="15" hidden="false" customHeight="false" outlineLevel="0" collapsed="false"/>
    <row r="2476" customFormat="false" ht="15" hidden="false" customHeight="false" outlineLevel="0" collapsed="false"/>
    <row r="2477" customFormat="false" ht="15" hidden="false" customHeight="false" outlineLevel="0" collapsed="false"/>
    <row r="2478" customFormat="false" ht="15" hidden="false" customHeight="false" outlineLevel="0" collapsed="false"/>
    <row r="2479" customFormat="false" ht="15" hidden="false" customHeight="false" outlineLevel="0" collapsed="false"/>
    <row r="2480" customFormat="false" ht="15" hidden="false" customHeight="false" outlineLevel="0" collapsed="false"/>
    <row r="2481" customFormat="false" ht="15" hidden="false" customHeight="false" outlineLevel="0" collapsed="false"/>
    <row r="2482" customFormat="false" ht="15" hidden="false" customHeight="false" outlineLevel="0" collapsed="false"/>
    <row r="2483" customFormat="false" ht="15" hidden="false" customHeight="false" outlineLevel="0" collapsed="false"/>
    <row r="2484" customFormat="false" ht="15" hidden="false" customHeight="false" outlineLevel="0" collapsed="false"/>
    <row r="2485" customFormat="false" ht="15" hidden="false" customHeight="false" outlineLevel="0" collapsed="false"/>
    <row r="2486" customFormat="false" ht="15" hidden="false" customHeight="false" outlineLevel="0" collapsed="false"/>
    <row r="2487" customFormat="false" ht="15" hidden="false" customHeight="false" outlineLevel="0" collapsed="false"/>
    <row r="2488" customFormat="false" ht="15" hidden="false" customHeight="false" outlineLevel="0" collapsed="false"/>
    <row r="2489" customFormat="false" ht="15" hidden="false" customHeight="false" outlineLevel="0" collapsed="false"/>
    <row r="2490" customFormat="false" ht="15" hidden="false" customHeight="false" outlineLevel="0" collapsed="false"/>
    <row r="2491" customFormat="false" ht="15" hidden="false" customHeight="false" outlineLevel="0" collapsed="false"/>
    <row r="2492" customFormat="false" ht="15" hidden="false" customHeight="false" outlineLevel="0" collapsed="false"/>
    <row r="2493" customFormat="false" ht="15" hidden="false" customHeight="false" outlineLevel="0" collapsed="false"/>
    <row r="2494" customFormat="false" ht="15" hidden="false" customHeight="false" outlineLevel="0" collapsed="false"/>
    <row r="2495" customFormat="false" ht="15" hidden="false" customHeight="false" outlineLevel="0" collapsed="false"/>
    <row r="2496" customFormat="false" ht="15" hidden="false" customHeight="false" outlineLevel="0" collapsed="false"/>
    <row r="2497" customFormat="false" ht="15" hidden="false" customHeight="false" outlineLevel="0" collapsed="false"/>
    <row r="2498" customFormat="false" ht="15" hidden="false" customHeight="false" outlineLevel="0" collapsed="false"/>
    <row r="2499" customFormat="false" ht="15" hidden="false" customHeight="false" outlineLevel="0" collapsed="false"/>
    <row r="2500" customFormat="false" ht="15" hidden="false" customHeight="false" outlineLevel="0" collapsed="false"/>
    <row r="2501" customFormat="false" ht="15" hidden="false" customHeight="false" outlineLevel="0" collapsed="false"/>
    <row r="2502" customFormat="false" ht="15" hidden="false" customHeight="false" outlineLevel="0" collapsed="false"/>
    <row r="2503" customFormat="false" ht="15" hidden="false" customHeight="false" outlineLevel="0" collapsed="false"/>
    <row r="2504" customFormat="false" ht="15" hidden="false" customHeight="false" outlineLevel="0" collapsed="false"/>
    <row r="2505" customFormat="false" ht="15" hidden="false" customHeight="false" outlineLevel="0" collapsed="false"/>
    <row r="2506" customFormat="false" ht="15" hidden="false" customHeight="false" outlineLevel="0" collapsed="false"/>
    <row r="2507" customFormat="false" ht="15" hidden="false" customHeight="false" outlineLevel="0" collapsed="false"/>
    <row r="2508" customFormat="false" ht="15" hidden="false" customHeight="false" outlineLevel="0" collapsed="false"/>
    <row r="2509" customFormat="false" ht="15" hidden="false" customHeight="false" outlineLevel="0" collapsed="false"/>
    <row r="2510" customFormat="false" ht="15" hidden="false" customHeight="false" outlineLevel="0" collapsed="false"/>
    <row r="2511" customFormat="false" ht="15" hidden="false" customHeight="false" outlineLevel="0" collapsed="false"/>
    <row r="2512" customFormat="false" ht="15" hidden="false" customHeight="false" outlineLevel="0" collapsed="false"/>
    <row r="2513" customFormat="false" ht="15" hidden="false" customHeight="false" outlineLevel="0" collapsed="false"/>
    <row r="2514" customFormat="false" ht="15" hidden="false" customHeight="false" outlineLevel="0" collapsed="false"/>
    <row r="2515" customFormat="false" ht="15" hidden="false" customHeight="false" outlineLevel="0" collapsed="false"/>
    <row r="2516" customFormat="false" ht="15" hidden="false" customHeight="false" outlineLevel="0" collapsed="false"/>
    <row r="2517" customFormat="false" ht="15" hidden="false" customHeight="false" outlineLevel="0" collapsed="false"/>
    <row r="2518" customFormat="false" ht="15" hidden="false" customHeight="false" outlineLevel="0" collapsed="false"/>
    <row r="2519" customFormat="false" ht="15" hidden="false" customHeight="false" outlineLevel="0" collapsed="false"/>
    <row r="2520" customFormat="false" ht="15" hidden="false" customHeight="false" outlineLevel="0" collapsed="false"/>
    <row r="2521" customFormat="false" ht="15" hidden="false" customHeight="false" outlineLevel="0" collapsed="false"/>
    <row r="2522" customFormat="false" ht="15" hidden="false" customHeight="false" outlineLevel="0" collapsed="false"/>
    <row r="2523" customFormat="false" ht="15" hidden="false" customHeight="false" outlineLevel="0" collapsed="false"/>
    <row r="2524" customFormat="false" ht="15" hidden="false" customHeight="false" outlineLevel="0" collapsed="false"/>
    <row r="2525" customFormat="false" ht="15" hidden="false" customHeight="false" outlineLevel="0" collapsed="false"/>
    <row r="2526" customFormat="false" ht="15" hidden="false" customHeight="false" outlineLevel="0" collapsed="false"/>
    <row r="2527" customFormat="false" ht="15" hidden="false" customHeight="false" outlineLevel="0" collapsed="false"/>
    <row r="2528" customFormat="false" ht="15" hidden="false" customHeight="false" outlineLevel="0" collapsed="false"/>
    <row r="2529" customFormat="false" ht="15" hidden="false" customHeight="false" outlineLevel="0" collapsed="false"/>
    <row r="2530" customFormat="false" ht="15" hidden="false" customHeight="false" outlineLevel="0" collapsed="false"/>
    <row r="2531" customFormat="false" ht="15" hidden="false" customHeight="false" outlineLevel="0" collapsed="false"/>
    <row r="2532" customFormat="false" ht="15" hidden="false" customHeight="false" outlineLevel="0" collapsed="false"/>
    <row r="2533" customFormat="false" ht="15" hidden="false" customHeight="false" outlineLevel="0" collapsed="false"/>
    <row r="2534" customFormat="false" ht="15" hidden="false" customHeight="false" outlineLevel="0" collapsed="false"/>
    <row r="2535" customFormat="false" ht="15" hidden="false" customHeight="false" outlineLevel="0" collapsed="false"/>
    <row r="2536" customFormat="false" ht="15" hidden="false" customHeight="false" outlineLevel="0" collapsed="false"/>
    <row r="2537" customFormat="false" ht="15" hidden="false" customHeight="false" outlineLevel="0" collapsed="false"/>
    <row r="2538" customFormat="false" ht="15" hidden="false" customHeight="false" outlineLevel="0" collapsed="false"/>
    <row r="2539" customFormat="false" ht="15" hidden="false" customHeight="false" outlineLevel="0" collapsed="false"/>
    <row r="2540" customFormat="false" ht="15" hidden="false" customHeight="false" outlineLevel="0" collapsed="false"/>
    <row r="2541" customFormat="false" ht="15" hidden="false" customHeight="false" outlineLevel="0" collapsed="false"/>
    <row r="2542" customFormat="false" ht="15" hidden="false" customHeight="false" outlineLevel="0" collapsed="false"/>
    <row r="2543" customFormat="false" ht="15" hidden="false" customHeight="false" outlineLevel="0" collapsed="false"/>
    <row r="2544" customFormat="false" ht="15" hidden="false" customHeight="false" outlineLevel="0" collapsed="false"/>
    <row r="2545" customFormat="false" ht="15" hidden="false" customHeight="false" outlineLevel="0" collapsed="false"/>
    <row r="2546" customFormat="false" ht="15" hidden="false" customHeight="false" outlineLevel="0" collapsed="false"/>
    <row r="2547" customFormat="false" ht="15" hidden="false" customHeight="false" outlineLevel="0" collapsed="false"/>
    <row r="2548" customFormat="false" ht="15" hidden="false" customHeight="false" outlineLevel="0" collapsed="false"/>
    <row r="2549" customFormat="false" ht="15" hidden="false" customHeight="false" outlineLevel="0" collapsed="false"/>
    <row r="2550" customFormat="false" ht="15" hidden="false" customHeight="false" outlineLevel="0" collapsed="false"/>
    <row r="2551" customFormat="false" ht="15" hidden="false" customHeight="false" outlineLevel="0" collapsed="false"/>
    <row r="2552" customFormat="false" ht="15" hidden="false" customHeight="false" outlineLevel="0" collapsed="false"/>
    <row r="2553" customFormat="false" ht="15" hidden="false" customHeight="false" outlineLevel="0" collapsed="false"/>
    <row r="2554" customFormat="false" ht="15" hidden="false" customHeight="false" outlineLevel="0" collapsed="false"/>
    <row r="2555" customFormat="false" ht="15" hidden="false" customHeight="false" outlineLevel="0" collapsed="false"/>
    <row r="2556" customFormat="false" ht="15" hidden="false" customHeight="false" outlineLevel="0" collapsed="false"/>
    <row r="2557" customFormat="false" ht="15" hidden="false" customHeight="false" outlineLevel="0" collapsed="false"/>
    <row r="2558" customFormat="false" ht="15" hidden="false" customHeight="false" outlineLevel="0" collapsed="false"/>
    <row r="2559" customFormat="false" ht="15" hidden="false" customHeight="false" outlineLevel="0" collapsed="false"/>
    <row r="2560" customFormat="false" ht="15" hidden="false" customHeight="false" outlineLevel="0" collapsed="false"/>
    <row r="2561" customFormat="false" ht="15" hidden="false" customHeight="false" outlineLevel="0" collapsed="false"/>
    <row r="2562" customFormat="false" ht="15" hidden="false" customHeight="false" outlineLevel="0" collapsed="false"/>
    <row r="2563" customFormat="false" ht="15" hidden="false" customHeight="false" outlineLevel="0" collapsed="false"/>
    <row r="2564" customFormat="false" ht="15" hidden="false" customHeight="false" outlineLevel="0" collapsed="false"/>
    <row r="2565" customFormat="false" ht="15" hidden="false" customHeight="false" outlineLevel="0" collapsed="false"/>
    <row r="2566" customFormat="false" ht="15" hidden="false" customHeight="false" outlineLevel="0" collapsed="false"/>
    <row r="2567" customFormat="false" ht="15" hidden="false" customHeight="false" outlineLevel="0" collapsed="false"/>
    <row r="2568" customFormat="false" ht="15" hidden="false" customHeight="false" outlineLevel="0" collapsed="false"/>
    <row r="2569" customFormat="false" ht="15" hidden="false" customHeight="false" outlineLevel="0" collapsed="false"/>
    <row r="2570" customFormat="false" ht="15" hidden="false" customHeight="false" outlineLevel="0" collapsed="false"/>
    <row r="2571" customFormat="false" ht="15" hidden="false" customHeight="false" outlineLevel="0" collapsed="false"/>
    <row r="2572" customFormat="false" ht="15" hidden="false" customHeight="false" outlineLevel="0" collapsed="false"/>
    <row r="2573" customFormat="false" ht="15" hidden="false" customHeight="false" outlineLevel="0" collapsed="false"/>
    <row r="2574" customFormat="false" ht="15" hidden="false" customHeight="false" outlineLevel="0" collapsed="false"/>
    <row r="2575" customFormat="false" ht="15" hidden="false" customHeight="false" outlineLevel="0" collapsed="false"/>
    <row r="2576" customFormat="false" ht="15" hidden="false" customHeight="false" outlineLevel="0" collapsed="false"/>
    <row r="2577" customFormat="false" ht="15" hidden="false" customHeight="false" outlineLevel="0" collapsed="false"/>
    <row r="2578" customFormat="false" ht="15" hidden="false" customHeight="false" outlineLevel="0" collapsed="false"/>
    <row r="2579" customFormat="false" ht="15" hidden="false" customHeight="false" outlineLevel="0" collapsed="false"/>
    <row r="2580" customFormat="false" ht="15" hidden="false" customHeight="false" outlineLevel="0" collapsed="false"/>
    <row r="2581" customFormat="false" ht="15" hidden="false" customHeight="false" outlineLevel="0" collapsed="false"/>
    <row r="2582" customFormat="false" ht="15" hidden="false" customHeight="false" outlineLevel="0" collapsed="false"/>
    <row r="2583" customFormat="false" ht="15" hidden="false" customHeight="false" outlineLevel="0" collapsed="false"/>
    <row r="2584" customFormat="false" ht="15" hidden="false" customHeight="false" outlineLevel="0" collapsed="false"/>
    <row r="2585" customFormat="false" ht="15" hidden="false" customHeight="false" outlineLevel="0" collapsed="false"/>
    <row r="2586" customFormat="false" ht="15" hidden="false" customHeight="false" outlineLevel="0" collapsed="false"/>
    <row r="2587" customFormat="false" ht="15" hidden="false" customHeight="false" outlineLevel="0" collapsed="false"/>
    <row r="2588" customFormat="false" ht="15" hidden="false" customHeight="false" outlineLevel="0" collapsed="false"/>
    <row r="2589" customFormat="false" ht="15" hidden="false" customHeight="false" outlineLevel="0" collapsed="false"/>
    <row r="2590" customFormat="false" ht="15" hidden="false" customHeight="false" outlineLevel="0" collapsed="false"/>
    <row r="2591" customFormat="false" ht="15" hidden="false" customHeight="false" outlineLevel="0" collapsed="false"/>
    <row r="2592" customFormat="false" ht="15" hidden="false" customHeight="false" outlineLevel="0" collapsed="false"/>
    <row r="2593" customFormat="false" ht="15" hidden="false" customHeight="false" outlineLevel="0" collapsed="false"/>
    <row r="2594" customFormat="false" ht="15" hidden="false" customHeight="false" outlineLevel="0" collapsed="false"/>
    <row r="2595" customFormat="false" ht="15" hidden="false" customHeight="false" outlineLevel="0" collapsed="false"/>
    <row r="2596" customFormat="false" ht="15" hidden="false" customHeight="false" outlineLevel="0" collapsed="false"/>
    <row r="2597" customFormat="false" ht="15" hidden="false" customHeight="false" outlineLevel="0" collapsed="false"/>
    <row r="2598" customFormat="false" ht="15" hidden="false" customHeight="false" outlineLevel="0" collapsed="false"/>
    <row r="2599" customFormat="false" ht="15" hidden="false" customHeight="false" outlineLevel="0" collapsed="false"/>
    <row r="2600" customFormat="false" ht="15" hidden="false" customHeight="false" outlineLevel="0" collapsed="false"/>
    <row r="2601" customFormat="false" ht="15" hidden="false" customHeight="false" outlineLevel="0" collapsed="false"/>
    <row r="2602" customFormat="false" ht="15" hidden="false" customHeight="false" outlineLevel="0" collapsed="false"/>
    <row r="2603" customFormat="false" ht="15" hidden="false" customHeight="false" outlineLevel="0" collapsed="false"/>
    <row r="2604" customFormat="false" ht="15" hidden="false" customHeight="false" outlineLevel="0" collapsed="false"/>
    <row r="2605" customFormat="false" ht="15" hidden="false" customHeight="false" outlineLevel="0" collapsed="false"/>
    <row r="2606" customFormat="false" ht="15" hidden="false" customHeight="false" outlineLevel="0" collapsed="false"/>
    <row r="2607" customFormat="false" ht="15" hidden="false" customHeight="false" outlineLevel="0" collapsed="false"/>
    <row r="2608" customFormat="false" ht="15" hidden="false" customHeight="false" outlineLevel="0" collapsed="false"/>
    <row r="2609" customFormat="false" ht="15" hidden="false" customHeight="false" outlineLevel="0" collapsed="false"/>
    <row r="2610" customFormat="false" ht="15" hidden="false" customHeight="false" outlineLevel="0" collapsed="false"/>
    <row r="2611" customFormat="false" ht="15" hidden="false" customHeight="false" outlineLevel="0" collapsed="false"/>
    <row r="2612" customFormat="false" ht="15" hidden="false" customHeight="false" outlineLevel="0" collapsed="false"/>
    <row r="2613" customFormat="false" ht="15" hidden="false" customHeight="false" outlineLevel="0" collapsed="false"/>
    <row r="2614" customFormat="false" ht="15" hidden="false" customHeight="false" outlineLevel="0" collapsed="false"/>
    <row r="2615" customFormat="false" ht="15" hidden="false" customHeight="false" outlineLevel="0" collapsed="false"/>
    <row r="2616" customFormat="false" ht="15" hidden="false" customHeight="false" outlineLevel="0" collapsed="false"/>
    <row r="2617" customFormat="false" ht="15" hidden="false" customHeight="false" outlineLevel="0" collapsed="false"/>
    <row r="2618" customFormat="false" ht="15" hidden="false" customHeight="false" outlineLevel="0" collapsed="false"/>
    <row r="2619" customFormat="false" ht="15" hidden="false" customHeight="false" outlineLevel="0" collapsed="false"/>
    <row r="2620" customFormat="false" ht="15" hidden="false" customHeight="false" outlineLevel="0" collapsed="false"/>
    <row r="2621" customFormat="false" ht="15" hidden="false" customHeight="false" outlineLevel="0" collapsed="false"/>
    <row r="2622" customFormat="false" ht="15" hidden="false" customHeight="false" outlineLevel="0" collapsed="false"/>
    <row r="2623" customFormat="false" ht="15" hidden="false" customHeight="false" outlineLevel="0" collapsed="false"/>
    <row r="2624" customFormat="false" ht="15" hidden="false" customHeight="false" outlineLevel="0" collapsed="false"/>
    <row r="2625" customFormat="false" ht="15" hidden="false" customHeight="false" outlineLevel="0" collapsed="false"/>
    <row r="2626" customFormat="false" ht="15" hidden="false" customHeight="false" outlineLevel="0" collapsed="false"/>
    <row r="2627" customFormat="false" ht="15" hidden="false" customHeight="false" outlineLevel="0" collapsed="false"/>
    <row r="2628" customFormat="false" ht="15" hidden="false" customHeight="false" outlineLevel="0" collapsed="false"/>
    <row r="2629" customFormat="false" ht="15" hidden="false" customHeight="false" outlineLevel="0" collapsed="false"/>
    <row r="2630" customFormat="false" ht="15" hidden="false" customHeight="false" outlineLevel="0" collapsed="false"/>
    <row r="2631" customFormat="false" ht="15" hidden="false" customHeight="false" outlineLevel="0" collapsed="false"/>
    <row r="2632" customFormat="false" ht="15" hidden="false" customHeight="false" outlineLevel="0" collapsed="false"/>
    <row r="2633" customFormat="false" ht="15" hidden="false" customHeight="false" outlineLevel="0" collapsed="false"/>
    <row r="2634" customFormat="false" ht="15" hidden="false" customHeight="false" outlineLevel="0" collapsed="false"/>
    <row r="2635" customFormat="false" ht="15" hidden="false" customHeight="false" outlineLevel="0" collapsed="false"/>
    <row r="2636" customFormat="false" ht="15" hidden="false" customHeight="false" outlineLevel="0" collapsed="false"/>
    <row r="2637" customFormat="false" ht="15" hidden="false" customHeight="false" outlineLevel="0" collapsed="false"/>
    <row r="2638" customFormat="false" ht="15" hidden="false" customHeight="false" outlineLevel="0" collapsed="false"/>
    <row r="2639" customFormat="false" ht="15" hidden="false" customHeight="false" outlineLevel="0" collapsed="false"/>
    <row r="2640" customFormat="false" ht="15" hidden="false" customHeight="false" outlineLevel="0" collapsed="false"/>
    <row r="2641" customFormat="false" ht="15" hidden="false" customHeight="false" outlineLevel="0" collapsed="false"/>
    <row r="2642" customFormat="false" ht="15" hidden="false" customHeight="false" outlineLevel="0" collapsed="false"/>
    <row r="2643" customFormat="false" ht="15" hidden="false" customHeight="false" outlineLevel="0" collapsed="false"/>
    <row r="2644" customFormat="false" ht="15" hidden="false" customHeight="false" outlineLevel="0" collapsed="false"/>
    <row r="2645" customFormat="false" ht="15" hidden="false" customHeight="false" outlineLevel="0" collapsed="false"/>
    <row r="2646" customFormat="false" ht="15" hidden="false" customHeight="false" outlineLevel="0" collapsed="false"/>
    <row r="2647" customFormat="false" ht="15" hidden="false" customHeight="false" outlineLevel="0" collapsed="false"/>
    <row r="2648" customFormat="false" ht="15" hidden="false" customHeight="false" outlineLevel="0" collapsed="false"/>
    <row r="2649" customFormat="false" ht="15" hidden="false" customHeight="false" outlineLevel="0" collapsed="false"/>
    <row r="2650" customFormat="false" ht="15" hidden="false" customHeight="false" outlineLevel="0" collapsed="false"/>
    <row r="2651" customFormat="false" ht="15" hidden="false" customHeight="false" outlineLevel="0" collapsed="false"/>
    <row r="2652" customFormat="false" ht="15" hidden="false" customHeight="false" outlineLevel="0" collapsed="false"/>
    <row r="2653" customFormat="false" ht="15" hidden="false" customHeight="false" outlineLevel="0" collapsed="false"/>
    <row r="2654" customFormat="false" ht="15" hidden="false" customHeight="false" outlineLevel="0" collapsed="false"/>
    <row r="2655" customFormat="false" ht="15" hidden="false" customHeight="false" outlineLevel="0" collapsed="false"/>
    <row r="2656" customFormat="false" ht="15" hidden="false" customHeight="false" outlineLevel="0" collapsed="false"/>
    <row r="2657" customFormat="false" ht="15" hidden="false" customHeight="false" outlineLevel="0" collapsed="false"/>
    <row r="2658" customFormat="false" ht="15" hidden="false" customHeight="false" outlineLevel="0" collapsed="false"/>
    <row r="2659" customFormat="false" ht="15" hidden="false" customHeight="false" outlineLevel="0" collapsed="false"/>
    <row r="2660" customFormat="false" ht="15" hidden="false" customHeight="false" outlineLevel="0" collapsed="false"/>
    <row r="2661" customFormat="false" ht="15" hidden="false" customHeight="false" outlineLevel="0" collapsed="false"/>
    <row r="2662" customFormat="false" ht="15" hidden="false" customHeight="false" outlineLevel="0" collapsed="false"/>
    <row r="2663" customFormat="false" ht="15" hidden="false" customHeight="false" outlineLevel="0" collapsed="false"/>
    <row r="2664" customFormat="false" ht="15" hidden="false" customHeight="false" outlineLevel="0" collapsed="false"/>
    <row r="2665" customFormat="false" ht="15" hidden="false" customHeight="false" outlineLevel="0" collapsed="false"/>
    <row r="2666" customFormat="false" ht="15" hidden="false" customHeight="false" outlineLevel="0" collapsed="false"/>
    <row r="2667" customFormat="false" ht="15" hidden="false" customHeight="false" outlineLevel="0" collapsed="false"/>
    <row r="2668" customFormat="false" ht="15" hidden="false" customHeight="false" outlineLevel="0" collapsed="false"/>
    <row r="2669" customFormat="false" ht="15" hidden="false" customHeight="false" outlineLevel="0" collapsed="false"/>
    <row r="2670" customFormat="false" ht="15" hidden="false" customHeight="false" outlineLevel="0" collapsed="false"/>
    <row r="2671" customFormat="false" ht="15" hidden="false" customHeight="false" outlineLevel="0" collapsed="false"/>
    <row r="2672" customFormat="false" ht="15" hidden="false" customHeight="false" outlineLevel="0" collapsed="false"/>
    <row r="2673" customFormat="false" ht="15" hidden="false" customHeight="false" outlineLevel="0" collapsed="false"/>
    <row r="2674" customFormat="false" ht="15" hidden="false" customHeight="false" outlineLevel="0" collapsed="false"/>
    <row r="2675" customFormat="false" ht="15" hidden="false" customHeight="false" outlineLevel="0" collapsed="false"/>
    <row r="2676" customFormat="false" ht="15" hidden="false" customHeight="false" outlineLevel="0" collapsed="false"/>
    <row r="2677" customFormat="false" ht="15" hidden="false" customHeight="false" outlineLevel="0" collapsed="false"/>
    <row r="2678" customFormat="false" ht="15" hidden="false" customHeight="false" outlineLevel="0" collapsed="false"/>
    <row r="2679" customFormat="false" ht="15" hidden="false" customHeight="false" outlineLevel="0" collapsed="false"/>
    <row r="2680" customFormat="false" ht="15" hidden="false" customHeight="false" outlineLevel="0" collapsed="false"/>
    <row r="2681" customFormat="false" ht="15" hidden="false" customHeight="false" outlineLevel="0" collapsed="false"/>
    <row r="2682" customFormat="false" ht="15" hidden="false" customHeight="false" outlineLevel="0" collapsed="false"/>
    <row r="2683" customFormat="false" ht="15" hidden="false" customHeight="false" outlineLevel="0" collapsed="false"/>
    <row r="2684" customFormat="false" ht="15" hidden="false" customHeight="false" outlineLevel="0" collapsed="false"/>
    <row r="2685" customFormat="false" ht="15" hidden="false" customHeight="false" outlineLevel="0" collapsed="false"/>
    <row r="2686" customFormat="false" ht="15" hidden="false" customHeight="false" outlineLevel="0" collapsed="false"/>
    <row r="2687" customFormat="false" ht="15" hidden="false" customHeight="false" outlineLevel="0" collapsed="false"/>
    <row r="2688" customFormat="false" ht="15" hidden="false" customHeight="false" outlineLevel="0" collapsed="false"/>
    <row r="2689" customFormat="false" ht="15" hidden="false" customHeight="false" outlineLevel="0" collapsed="false"/>
    <row r="2690" customFormat="false" ht="15" hidden="false" customHeight="false" outlineLevel="0" collapsed="false"/>
    <row r="2691" customFormat="false" ht="15" hidden="false" customHeight="false" outlineLevel="0" collapsed="false"/>
    <row r="2692" customFormat="false" ht="15" hidden="false" customHeight="false" outlineLevel="0" collapsed="false"/>
    <row r="2693" customFormat="false" ht="15" hidden="false" customHeight="false" outlineLevel="0" collapsed="false"/>
    <row r="2694" customFormat="false" ht="15" hidden="false" customHeight="false" outlineLevel="0" collapsed="false"/>
    <row r="2695" customFormat="false" ht="15" hidden="false" customHeight="false" outlineLevel="0" collapsed="false"/>
    <row r="2696" customFormat="false" ht="15" hidden="false" customHeight="false" outlineLevel="0" collapsed="false"/>
    <row r="2697" customFormat="false" ht="15" hidden="false" customHeight="false" outlineLevel="0" collapsed="false"/>
    <row r="2698" customFormat="false" ht="15" hidden="false" customHeight="false" outlineLevel="0" collapsed="false"/>
    <row r="2699" customFormat="false" ht="15" hidden="false" customHeight="false" outlineLevel="0" collapsed="false"/>
    <row r="2700" customFormat="false" ht="15" hidden="false" customHeight="false" outlineLevel="0" collapsed="false"/>
    <row r="2701" customFormat="false" ht="15" hidden="false" customHeight="false" outlineLevel="0" collapsed="false"/>
    <row r="2702" customFormat="false" ht="15" hidden="false" customHeight="false" outlineLevel="0" collapsed="false"/>
    <row r="2703" customFormat="false" ht="15" hidden="false" customHeight="false" outlineLevel="0" collapsed="false"/>
    <row r="2704" customFormat="false" ht="15" hidden="false" customHeight="false" outlineLevel="0" collapsed="false"/>
    <row r="2705" customFormat="false" ht="15" hidden="false" customHeight="false" outlineLevel="0" collapsed="false"/>
    <row r="2706" customFormat="false" ht="15" hidden="false" customHeight="false" outlineLevel="0" collapsed="false"/>
    <row r="2707" customFormat="false" ht="15" hidden="false" customHeight="false" outlineLevel="0" collapsed="false"/>
    <row r="2708" customFormat="false" ht="15" hidden="false" customHeight="false" outlineLevel="0" collapsed="false"/>
    <row r="2709" customFormat="false" ht="15" hidden="false" customHeight="false" outlineLevel="0" collapsed="false"/>
    <row r="2710" customFormat="false" ht="15" hidden="false" customHeight="false" outlineLevel="0" collapsed="false"/>
    <row r="2711" customFormat="false" ht="15" hidden="false" customHeight="false" outlineLevel="0" collapsed="false"/>
    <row r="2712" customFormat="false" ht="15" hidden="false" customHeight="false" outlineLevel="0" collapsed="false"/>
    <row r="2713" customFormat="false" ht="15" hidden="false" customHeight="false" outlineLevel="0" collapsed="false"/>
    <row r="2714" customFormat="false" ht="15" hidden="false" customHeight="false" outlineLevel="0" collapsed="false"/>
    <row r="2715" customFormat="false" ht="15" hidden="false" customHeight="false" outlineLevel="0" collapsed="false"/>
    <row r="2716" customFormat="false" ht="15" hidden="false" customHeight="false" outlineLevel="0" collapsed="false"/>
    <row r="2717" customFormat="false" ht="15" hidden="false" customHeight="false" outlineLevel="0" collapsed="false"/>
    <row r="2718" customFormat="false" ht="15" hidden="false" customHeight="false" outlineLevel="0" collapsed="false"/>
    <row r="2719" customFormat="false" ht="15" hidden="false" customHeight="false" outlineLevel="0" collapsed="false"/>
    <row r="2720" customFormat="false" ht="15" hidden="false" customHeight="false" outlineLevel="0" collapsed="false"/>
    <row r="2721" customFormat="false" ht="15" hidden="false" customHeight="false" outlineLevel="0" collapsed="false"/>
    <row r="2722" customFormat="false" ht="15" hidden="false" customHeight="false" outlineLevel="0" collapsed="false"/>
    <row r="2723" customFormat="false" ht="15" hidden="false" customHeight="false" outlineLevel="0" collapsed="false"/>
    <row r="2724" customFormat="false" ht="15" hidden="false" customHeight="false" outlineLevel="0" collapsed="false"/>
    <row r="2725" customFormat="false" ht="15" hidden="false" customHeight="false" outlineLevel="0" collapsed="false"/>
    <row r="2726" customFormat="false" ht="15" hidden="false" customHeight="false" outlineLevel="0" collapsed="false"/>
    <row r="2727" customFormat="false" ht="15" hidden="false" customHeight="false" outlineLevel="0" collapsed="false"/>
    <row r="2728" customFormat="false" ht="15" hidden="false" customHeight="false" outlineLevel="0" collapsed="false"/>
    <row r="2729" customFormat="false" ht="15" hidden="false" customHeight="false" outlineLevel="0" collapsed="false"/>
    <row r="2730" customFormat="false" ht="15" hidden="false" customHeight="false" outlineLevel="0" collapsed="false"/>
    <row r="2731" customFormat="false" ht="15" hidden="false" customHeight="false" outlineLevel="0" collapsed="false"/>
    <row r="2732" customFormat="false" ht="15" hidden="false" customHeight="false" outlineLevel="0" collapsed="false"/>
    <row r="2733" customFormat="false" ht="15" hidden="false" customHeight="false" outlineLevel="0" collapsed="false"/>
    <row r="2734" customFormat="false" ht="15" hidden="false" customHeight="false" outlineLevel="0" collapsed="false"/>
    <row r="2735" customFormat="false" ht="15" hidden="false" customHeight="false" outlineLevel="0" collapsed="false"/>
    <row r="2736" customFormat="false" ht="15" hidden="false" customHeight="false" outlineLevel="0" collapsed="false"/>
    <row r="2737" customFormat="false" ht="15" hidden="false" customHeight="false" outlineLevel="0" collapsed="false"/>
    <row r="2738" customFormat="false" ht="15" hidden="false" customHeight="false" outlineLevel="0" collapsed="false"/>
    <row r="2739" customFormat="false" ht="15" hidden="false" customHeight="false" outlineLevel="0" collapsed="false"/>
    <row r="2740" customFormat="false" ht="15" hidden="false" customHeight="false" outlineLevel="0" collapsed="false"/>
    <row r="2741" customFormat="false" ht="15" hidden="false" customHeight="false" outlineLevel="0" collapsed="false"/>
    <row r="2742" customFormat="false" ht="15" hidden="false" customHeight="false" outlineLevel="0" collapsed="false"/>
    <row r="2743" customFormat="false" ht="15" hidden="false" customHeight="false" outlineLevel="0" collapsed="false"/>
    <row r="2744" customFormat="false" ht="15" hidden="false" customHeight="false" outlineLevel="0" collapsed="false"/>
    <row r="2745" customFormat="false" ht="15" hidden="false" customHeight="false" outlineLevel="0" collapsed="false"/>
    <row r="2746" customFormat="false" ht="15" hidden="false" customHeight="false" outlineLevel="0" collapsed="false"/>
    <row r="2747" customFormat="false" ht="15" hidden="false" customHeight="false" outlineLevel="0" collapsed="false"/>
    <row r="2748" customFormat="false" ht="15" hidden="false" customHeight="false" outlineLevel="0" collapsed="false"/>
    <row r="2749" customFormat="false" ht="15" hidden="false" customHeight="false" outlineLevel="0" collapsed="false"/>
    <row r="2750" customFormat="false" ht="15" hidden="false" customHeight="false" outlineLevel="0" collapsed="false"/>
    <row r="2751" customFormat="false" ht="15" hidden="false" customHeight="false" outlineLevel="0" collapsed="false"/>
    <row r="2752" customFormat="false" ht="15" hidden="false" customHeight="false" outlineLevel="0" collapsed="false"/>
    <row r="2753" customFormat="false" ht="15" hidden="false" customHeight="false" outlineLevel="0" collapsed="false"/>
    <row r="2754" customFormat="false" ht="15" hidden="false" customHeight="false" outlineLevel="0" collapsed="false"/>
    <row r="2755" customFormat="false" ht="15" hidden="false" customHeight="false" outlineLevel="0" collapsed="false"/>
    <row r="2756" customFormat="false" ht="15" hidden="false" customHeight="false" outlineLevel="0" collapsed="false"/>
    <row r="2757" customFormat="false" ht="15" hidden="false" customHeight="false" outlineLevel="0" collapsed="false"/>
    <row r="2758" customFormat="false" ht="15" hidden="false" customHeight="false" outlineLevel="0" collapsed="false"/>
    <row r="2759" customFormat="false" ht="15" hidden="false" customHeight="false" outlineLevel="0" collapsed="false"/>
    <row r="2760" customFormat="false" ht="15" hidden="false" customHeight="false" outlineLevel="0" collapsed="false"/>
    <row r="2761" customFormat="false" ht="15" hidden="false" customHeight="false" outlineLevel="0" collapsed="false"/>
    <row r="2762" customFormat="false" ht="15" hidden="false" customHeight="false" outlineLevel="0" collapsed="false"/>
    <row r="2763" customFormat="false" ht="15" hidden="false" customHeight="false" outlineLevel="0" collapsed="false"/>
    <row r="2764" customFormat="false" ht="15" hidden="false" customHeight="false" outlineLevel="0" collapsed="false"/>
    <row r="2765" customFormat="false" ht="15" hidden="false" customHeight="false" outlineLevel="0" collapsed="false"/>
    <row r="2766" customFormat="false" ht="15" hidden="false" customHeight="false" outlineLevel="0" collapsed="false"/>
    <row r="2767" customFormat="false" ht="15" hidden="false" customHeight="false" outlineLevel="0" collapsed="false"/>
    <row r="2768" customFormat="false" ht="15" hidden="false" customHeight="false" outlineLevel="0" collapsed="false"/>
    <row r="2769" customFormat="false" ht="15" hidden="false" customHeight="false" outlineLevel="0" collapsed="false"/>
    <row r="2770" customFormat="false" ht="15" hidden="false" customHeight="false" outlineLevel="0" collapsed="false"/>
    <row r="2771" customFormat="false" ht="15" hidden="false" customHeight="false" outlineLevel="0" collapsed="false"/>
    <row r="2772" customFormat="false" ht="15" hidden="false" customHeight="false" outlineLevel="0" collapsed="false"/>
    <row r="2773" customFormat="false" ht="15" hidden="false" customHeight="false" outlineLevel="0" collapsed="false"/>
    <row r="2774" customFormat="false" ht="15" hidden="false" customHeight="false" outlineLevel="0" collapsed="false"/>
    <row r="2775" customFormat="false" ht="15" hidden="false" customHeight="false" outlineLevel="0" collapsed="false"/>
    <row r="2776" customFormat="false" ht="15" hidden="false" customHeight="false" outlineLevel="0" collapsed="false"/>
    <row r="2777" customFormat="false" ht="15" hidden="false" customHeight="false" outlineLevel="0" collapsed="false"/>
    <row r="2778" customFormat="false" ht="15" hidden="false" customHeight="false" outlineLevel="0" collapsed="false"/>
    <row r="2779" customFormat="false" ht="15" hidden="false" customHeight="false" outlineLevel="0" collapsed="false"/>
    <row r="2780" customFormat="false" ht="15" hidden="false" customHeight="false" outlineLevel="0" collapsed="false"/>
    <row r="2781" customFormat="false" ht="15" hidden="false" customHeight="false" outlineLevel="0" collapsed="false"/>
    <row r="2782" customFormat="false" ht="15" hidden="false" customHeight="false" outlineLevel="0" collapsed="false"/>
    <row r="2783" customFormat="false" ht="15" hidden="false" customHeight="false" outlineLevel="0" collapsed="false"/>
    <row r="2784" customFormat="false" ht="15" hidden="false" customHeight="false" outlineLevel="0" collapsed="false"/>
    <row r="2785" customFormat="false" ht="15" hidden="false" customHeight="false" outlineLevel="0" collapsed="false"/>
    <row r="2786" customFormat="false" ht="15" hidden="false" customHeight="false" outlineLevel="0" collapsed="false"/>
    <row r="2787" customFormat="false" ht="15" hidden="false" customHeight="false" outlineLevel="0" collapsed="false"/>
    <row r="2788" customFormat="false" ht="15" hidden="false" customHeight="false" outlineLevel="0" collapsed="false"/>
    <row r="2789" customFormat="false" ht="15" hidden="false" customHeight="false" outlineLevel="0" collapsed="false"/>
    <row r="2790" customFormat="false" ht="15" hidden="false" customHeight="false" outlineLevel="0" collapsed="false"/>
    <row r="2791" customFormat="false" ht="15" hidden="false" customHeight="false" outlineLevel="0" collapsed="false"/>
    <row r="2792" customFormat="false" ht="15" hidden="false" customHeight="false" outlineLevel="0" collapsed="false"/>
    <row r="2793" customFormat="false" ht="15" hidden="false" customHeight="false" outlineLevel="0" collapsed="false"/>
    <row r="2794" customFormat="false" ht="15" hidden="false" customHeight="false" outlineLevel="0" collapsed="false"/>
    <row r="2795" customFormat="false" ht="15" hidden="false" customHeight="false" outlineLevel="0" collapsed="false"/>
    <row r="2796" customFormat="false" ht="15" hidden="false" customHeight="false" outlineLevel="0" collapsed="false"/>
    <row r="2797" customFormat="false" ht="15" hidden="false" customHeight="false" outlineLevel="0" collapsed="false"/>
    <row r="2798" customFormat="false" ht="15" hidden="false" customHeight="false" outlineLevel="0" collapsed="false"/>
    <row r="2799" customFormat="false" ht="15" hidden="false" customHeight="false" outlineLevel="0" collapsed="false"/>
    <row r="2800" customFormat="false" ht="15" hidden="false" customHeight="false" outlineLevel="0" collapsed="false"/>
    <row r="2801" customFormat="false" ht="15" hidden="false" customHeight="false" outlineLevel="0" collapsed="false"/>
    <row r="2802" customFormat="false" ht="15" hidden="false" customHeight="false" outlineLevel="0" collapsed="false"/>
    <row r="2803" customFormat="false" ht="15" hidden="false" customHeight="false" outlineLevel="0" collapsed="false"/>
    <row r="2804" customFormat="false" ht="15" hidden="false" customHeight="false" outlineLevel="0" collapsed="false"/>
    <row r="2805" customFormat="false" ht="15" hidden="false" customHeight="false" outlineLevel="0" collapsed="false"/>
    <row r="2806" customFormat="false" ht="15" hidden="false" customHeight="false" outlineLevel="0" collapsed="false"/>
    <row r="2807" customFormat="false" ht="15" hidden="false" customHeight="false" outlineLevel="0" collapsed="false"/>
    <row r="2808" customFormat="false" ht="15" hidden="false" customHeight="false" outlineLevel="0" collapsed="false"/>
    <row r="2809" customFormat="false" ht="15" hidden="false" customHeight="false" outlineLevel="0" collapsed="false"/>
    <row r="2810" customFormat="false" ht="15" hidden="false" customHeight="false" outlineLevel="0" collapsed="false"/>
    <row r="2811" customFormat="false" ht="15" hidden="false" customHeight="false" outlineLevel="0" collapsed="false"/>
    <row r="2812" customFormat="false" ht="15" hidden="false" customHeight="false" outlineLevel="0" collapsed="false"/>
    <row r="2813" customFormat="false" ht="15" hidden="false" customHeight="false" outlineLevel="0" collapsed="false"/>
    <row r="2814" customFormat="false" ht="15" hidden="false" customHeight="false" outlineLevel="0" collapsed="false"/>
    <row r="2815" customFormat="false" ht="15" hidden="false" customHeight="false" outlineLevel="0" collapsed="false"/>
    <row r="2816" customFormat="false" ht="15" hidden="false" customHeight="false" outlineLevel="0" collapsed="false"/>
    <row r="2817" customFormat="false" ht="15" hidden="false" customHeight="false" outlineLevel="0" collapsed="false"/>
    <row r="2818" customFormat="false" ht="15" hidden="false" customHeight="false" outlineLevel="0" collapsed="false"/>
    <row r="2819" customFormat="false" ht="15" hidden="false" customHeight="false" outlineLevel="0" collapsed="false"/>
    <row r="2820" customFormat="false" ht="15" hidden="false" customHeight="false" outlineLevel="0" collapsed="false"/>
    <row r="2821" customFormat="false" ht="15" hidden="false" customHeight="false" outlineLevel="0" collapsed="false"/>
    <row r="2822" customFormat="false" ht="15" hidden="false" customHeight="false" outlineLevel="0" collapsed="false"/>
    <row r="2823" customFormat="false" ht="15" hidden="false" customHeight="false" outlineLevel="0" collapsed="false"/>
    <row r="2824" customFormat="false" ht="15" hidden="false" customHeight="false" outlineLevel="0" collapsed="false"/>
    <row r="2825" customFormat="false" ht="15" hidden="false" customHeight="false" outlineLevel="0" collapsed="false"/>
    <row r="2826" customFormat="false" ht="15" hidden="false" customHeight="false" outlineLevel="0" collapsed="false"/>
    <row r="2827" customFormat="false" ht="15" hidden="false" customHeight="false" outlineLevel="0" collapsed="false"/>
    <row r="2828" customFormat="false" ht="15" hidden="false" customHeight="false" outlineLevel="0" collapsed="false"/>
    <row r="2829" customFormat="false" ht="15" hidden="false" customHeight="false" outlineLevel="0" collapsed="false"/>
    <row r="2830" customFormat="false" ht="15" hidden="false" customHeight="false" outlineLevel="0" collapsed="false"/>
    <row r="2831" customFormat="false" ht="15" hidden="false" customHeight="false" outlineLevel="0" collapsed="false"/>
    <row r="2832" customFormat="false" ht="15" hidden="false" customHeight="false" outlineLevel="0" collapsed="false"/>
    <row r="2833" customFormat="false" ht="15" hidden="false" customHeight="false" outlineLevel="0" collapsed="false"/>
    <row r="2834" customFormat="false" ht="15" hidden="false" customHeight="false" outlineLevel="0" collapsed="false"/>
    <row r="2835" customFormat="false" ht="15" hidden="false" customHeight="false" outlineLevel="0" collapsed="false"/>
    <row r="2836" customFormat="false" ht="15" hidden="false" customHeight="false" outlineLevel="0" collapsed="false"/>
    <row r="2837" customFormat="false" ht="15" hidden="false" customHeight="false" outlineLevel="0" collapsed="false"/>
    <row r="2838" customFormat="false" ht="15" hidden="false" customHeight="false" outlineLevel="0" collapsed="false"/>
    <row r="2839" customFormat="false" ht="15" hidden="false" customHeight="false" outlineLevel="0" collapsed="false"/>
    <row r="2840" customFormat="false" ht="15" hidden="false" customHeight="false" outlineLevel="0" collapsed="false"/>
    <row r="2841" customFormat="false" ht="15" hidden="false" customHeight="false" outlineLevel="0" collapsed="false"/>
    <row r="2842" customFormat="false" ht="15" hidden="false" customHeight="false" outlineLevel="0" collapsed="false"/>
    <row r="2843" customFormat="false" ht="15" hidden="false" customHeight="false" outlineLevel="0" collapsed="false"/>
    <row r="2844" customFormat="false" ht="15" hidden="false" customHeight="false" outlineLevel="0" collapsed="false"/>
    <row r="2845" customFormat="false" ht="15" hidden="false" customHeight="false" outlineLevel="0" collapsed="false"/>
    <row r="2846" customFormat="false" ht="15" hidden="false" customHeight="false" outlineLevel="0" collapsed="false"/>
    <row r="2847" customFormat="false" ht="15" hidden="false" customHeight="false" outlineLevel="0" collapsed="false"/>
    <row r="2848" customFormat="false" ht="15" hidden="false" customHeight="false" outlineLevel="0" collapsed="false"/>
    <row r="2849" customFormat="false" ht="15" hidden="false" customHeight="false" outlineLevel="0" collapsed="false"/>
    <row r="2850" customFormat="false" ht="15" hidden="false" customHeight="false" outlineLevel="0" collapsed="false"/>
    <row r="2851" customFormat="false" ht="15" hidden="false" customHeight="false" outlineLevel="0" collapsed="false"/>
    <row r="2852" customFormat="false" ht="15" hidden="false" customHeight="false" outlineLevel="0" collapsed="false"/>
    <row r="2853" customFormat="false" ht="15" hidden="false" customHeight="false" outlineLevel="0" collapsed="false"/>
    <row r="2854" customFormat="false" ht="15" hidden="false" customHeight="false" outlineLevel="0" collapsed="false"/>
    <row r="2855" customFormat="false" ht="15" hidden="false" customHeight="false" outlineLevel="0" collapsed="false"/>
    <row r="2856" customFormat="false" ht="15" hidden="false" customHeight="false" outlineLevel="0" collapsed="false"/>
    <row r="2857" customFormat="false" ht="15" hidden="false" customHeight="false" outlineLevel="0" collapsed="false"/>
    <row r="2858" customFormat="false" ht="15" hidden="false" customHeight="false" outlineLevel="0" collapsed="false"/>
    <row r="2859" customFormat="false" ht="15" hidden="false" customHeight="false" outlineLevel="0" collapsed="false"/>
    <row r="2860" customFormat="false" ht="15" hidden="false" customHeight="false" outlineLevel="0" collapsed="false"/>
    <row r="2861" customFormat="false" ht="15" hidden="false" customHeight="false" outlineLevel="0" collapsed="false"/>
    <row r="2862" customFormat="false" ht="15" hidden="false" customHeight="false" outlineLevel="0" collapsed="false"/>
    <row r="2863" customFormat="false" ht="15" hidden="false" customHeight="false" outlineLevel="0" collapsed="false"/>
    <row r="2864" customFormat="false" ht="15" hidden="false" customHeight="false" outlineLevel="0" collapsed="false"/>
    <row r="2865" customFormat="false" ht="15" hidden="false" customHeight="false" outlineLevel="0" collapsed="false"/>
    <row r="2866" customFormat="false" ht="15" hidden="false" customHeight="false" outlineLevel="0" collapsed="false"/>
    <row r="2867" customFormat="false" ht="15" hidden="false" customHeight="false" outlineLevel="0" collapsed="false"/>
    <row r="2868" customFormat="false" ht="15" hidden="false" customHeight="false" outlineLevel="0" collapsed="false"/>
    <row r="2869" customFormat="false" ht="15" hidden="false" customHeight="false" outlineLevel="0" collapsed="false"/>
    <row r="2870" customFormat="false" ht="15" hidden="false" customHeight="false" outlineLevel="0" collapsed="false"/>
    <row r="2871" customFormat="false" ht="15" hidden="false" customHeight="false" outlineLevel="0" collapsed="false"/>
    <row r="2872" customFormat="false" ht="15" hidden="false" customHeight="false" outlineLevel="0" collapsed="false"/>
    <row r="2873" customFormat="false" ht="15" hidden="false" customHeight="false" outlineLevel="0" collapsed="false"/>
    <row r="2874" customFormat="false" ht="15" hidden="false" customHeight="false" outlineLevel="0" collapsed="false"/>
    <row r="2875" customFormat="false" ht="15" hidden="false" customHeight="false" outlineLevel="0" collapsed="false"/>
    <row r="2876" customFormat="false" ht="15" hidden="false" customHeight="false" outlineLevel="0" collapsed="false"/>
    <row r="2877" customFormat="false" ht="15" hidden="false" customHeight="false" outlineLevel="0" collapsed="false"/>
    <row r="2878" customFormat="false" ht="15" hidden="false" customHeight="false" outlineLevel="0" collapsed="false"/>
    <row r="2879" customFormat="false" ht="15" hidden="false" customHeight="false" outlineLevel="0" collapsed="false"/>
    <row r="2880" customFormat="false" ht="15" hidden="false" customHeight="false" outlineLevel="0" collapsed="false"/>
    <row r="2881" customFormat="false" ht="15" hidden="false" customHeight="false" outlineLevel="0" collapsed="false"/>
    <row r="2882" customFormat="false" ht="15" hidden="false" customHeight="false" outlineLevel="0" collapsed="false"/>
    <row r="2883" customFormat="false" ht="15" hidden="false" customHeight="false" outlineLevel="0" collapsed="false"/>
    <row r="2884" customFormat="false" ht="15" hidden="false" customHeight="false" outlineLevel="0" collapsed="false"/>
    <row r="2885" customFormat="false" ht="15" hidden="false" customHeight="false" outlineLevel="0" collapsed="false"/>
    <row r="2886" customFormat="false" ht="15" hidden="false" customHeight="false" outlineLevel="0" collapsed="false"/>
    <row r="2887" customFormat="false" ht="15" hidden="false" customHeight="false" outlineLevel="0" collapsed="false"/>
    <row r="2888" customFormat="false" ht="15" hidden="false" customHeight="false" outlineLevel="0" collapsed="false"/>
    <row r="2889" customFormat="false" ht="15" hidden="false" customHeight="false" outlineLevel="0" collapsed="false"/>
    <row r="2890" customFormat="false" ht="15" hidden="false" customHeight="false" outlineLevel="0" collapsed="false"/>
    <row r="2891" customFormat="false" ht="15" hidden="false" customHeight="false" outlineLevel="0" collapsed="false"/>
    <row r="2892" customFormat="false" ht="15" hidden="false" customHeight="false" outlineLevel="0" collapsed="false"/>
    <row r="2893" customFormat="false" ht="15" hidden="false" customHeight="false" outlineLevel="0" collapsed="false"/>
    <row r="2894" customFormat="false" ht="15" hidden="false" customHeight="false" outlineLevel="0" collapsed="false"/>
    <row r="2895" customFormat="false" ht="15" hidden="false" customHeight="false" outlineLevel="0" collapsed="false"/>
    <row r="2896" customFormat="false" ht="15" hidden="false" customHeight="false" outlineLevel="0" collapsed="false"/>
    <row r="2897" customFormat="false" ht="15" hidden="false" customHeight="false" outlineLevel="0" collapsed="false"/>
    <row r="2898" customFormat="false" ht="15" hidden="false" customHeight="false" outlineLevel="0" collapsed="false"/>
    <row r="2899" customFormat="false" ht="15" hidden="false" customHeight="false" outlineLevel="0" collapsed="false"/>
    <row r="2900" customFormat="false" ht="15" hidden="false" customHeight="false" outlineLevel="0" collapsed="false"/>
    <row r="2901" customFormat="false" ht="15" hidden="false" customHeight="false" outlineLevel="0" collapsed="false"/>
    <row r="2902" customFormat="false" ht="15" hidden="false" customHeight="false" outlineLevel="0" collapsed="false"/>
    <row r="2903" customFormat="false" ht="15" hidden="false" customHeight="false" outlineLevel="0" collapsed="false"/>
    <row r="2904" customFormat="false" ht="15" hidden="false" customHeight="false" outlineLevel="0" collapsed="false"/>
    <row r="2905" customFormat="false" ht="15" hidden="false" customHeight="false" outlineLevel="0" collapsed="false"/>
    <row r="2906" customFormat="false" ht="15" hidden="false" customHeight="false" outlineLevel="0" collapsed="false"/>
    <row r="2907" customFormat="false" ht="15" hidden="false" customHeight="false" outlineLevel="0" collapsed="false"/>
    <row r="2908" customFormat="false" ht="15" hidden="false" customHeight="false" outlineLevel="0" collapsed="false"/>
    <row r="2909" customFormat="false" ht="15" hidden="false" customHeight="false" outlineLevel="0" collapsed="false"/>
    <row r="2910" customFormat="false" ht="15" hidden="false" customHeight="false" outlineLevel="0" collapsed="false"/>
    <row r="2911" customFormat="false" ht="15" hidden="false" customHeight="false" outlineLevel="0" collapsed="false"/>
    <row r="2912" customFormat="false" ht="15" hidden="false" customHeight="false" outlineLevel="0" collapsed="false"/>
    <row r="2913" customFormat="false" ht="15" hidden="false" customHeight="false" outlineLevel="0" collapsed="false"/>
    <row r="2914" customFormat="false" ht="15" hidden="false" customHeight="false" outlineLevel="0" collapsed="false"/>
    <row r="2915" customFormat="false" ht="15" hidden="false" customHeight="false" outlineLevel="0" collapsed="false"/>
    <row r="2916" customFormat="false" ht="15" hidden="false" customHeight="false" outlineLevel="0" collapsed="false"/>
    <row r="2917" customFormat="false" ht="15" hidden="false" customHeight="false" outlineLevel="0" collapsed="false"/>
    <row r="2918" customFormat="false" ht="15" hidden="false" customHeight="false" outlineLevel="0" collapsed="false"/>
    <row r="2919" customFormat="false" ht="15" hidden="false" customHeight="false" outlineLevel="0" collapsed="false"/>
    <row r="2920" customFormat="false" ht="15" hidden="false" customHeight="false" outlineLevel="0" collapsed="false"/>
    <row r="2921" customFormat="false" ht="15" hidden="false" customHeight="false" outlineLevel="0" collapsed="false"/>
    <row r="2922" customFormat="false" ht="15" hidden="false" customHeight="false" outlineLevel="0" collapsed="false"/>
    <row r="2923" customFormat="false" ht="15" hidden="false" customHeight="false" outlineLevel="0" collapsed="false"/>
    <row r="2924" customFormat="false" ht="15" hidden="false" customHeight="false" outlineLevel="0" collapsed="false"/>
    <row r="2925" customFormat="false" ht="15" hidden="false" customHeight="false" outlineLevel="0" collapsed="false"/>
    <row r="2926" customFormat="false" ht="15" hidden="false" customHeight="false" outlineLevel="0" collapsed="false"/>
    <row r="2927" customFormat="false" ht="15" hidden="false" customHeight="false" outlineLevel="0" collapsed="false"/>
    <row r="2928" customFormat="false" ht="15" hidden="false" customHeight="false" outlineLevel="0" collapsed="false"/>
    <row r="2929" customFormat="false" ht="15" hidden="false" customHeight="false" outlineLevel="0" collapsed="false"/>
    <row r="2930" customFormat="false" ht="15" hidden="false" customHeight="false" outlineLevel="0" collapsed="false"/>
    <row r="2931" customFormat="false" ht="15" hidden="false" customHeight="false" outlineLevel="0" collapsed="false"/>
    <row r="2932" customFormat="false" ht="15" hidden="false" customHeight="false" outlineLevel="0" collapsed="false"/>
    <row r="2933" customFormat="false" ht="15" hidden="false" customHeight="false" outlineLevel="0" collapsed="false"/>
    <row r="2934" customFormat="false" ht="15" hidden="false" customHeight="false" outlineLevel="0" collapsed="false"/>
    <row r="2935" customFormat="false" ht="15" hidden="false" customHeight="false" outlineLevel="0" collapsed="false"/>
    <row r="2936" customFormat="false" ht="15" hidden="false" customHeight="false" outlineLevel="0" collapsed="false"/>
    <row r="2937" customFormat="false" ht="15" hidden="false" customHeight="false" outlineLevel="0" collapsed="false"/>
    <row r="2938" customFormat="false" ht="15" hidden="false" customHeight="false" outlineLevel="0" collapsed="false"/>
    <row r="2939" customFormat="false" ht="15" hidden="false" customHeight="false" outlineLevel="0" collapsed="false"/>
    <row r="2940" customFormat="false" ht="15" hidden="false" customHeight="false" outlineLevel="0" collapsed="false"/>
    <row r="2941" customFormat="false" ht="15" hidden="false" customHeight="false" outlineLevel="0" collapsed="false"/>
    <row r="2942" customFormat="false" ht="15" hidden="false" customHeight="false" outlineLevel="0" collapsed="false"/>
    <row r="2943" customFormat="false" ht="15" hidden="false" customHeight="false" outlineLevel="0" collapsed="false"/>
    <row r="2944" customFormat="false" ht="15" hidden="false" customHeight="false" outlineLevel="0" collapsed="false"/>
    <row r="2945" customFormat="false" ht="15" hidden="false" customHeight="false" outlineLevel="0" collapsed="false"/>
    <row r="2946" customFormat="false" ht="15" hidden="false" customHeight="false" outlineLevel="0" collapsed="false"/>
    <row r="2947" customFormat="false" ht="15" hidden="false" customHeight="false" outlineLevel="0" collapsed="false"/>
    <row r="2948" customFormat="false" ht="15" hidden="false" customHeight="false" outlineLevel="0" collapsed="false"/>
    <row r="2949" customFormat="false" ht="15" hidden="false" customHeight="false" outlineLevel="0" collapsed="false"/>
    <row r="2950" customFormat="false" ht="15" hidden="false" customHeight="false" outlineLevel="0" collapsed="false"/>
    <row r="2951" customFormat="false" ht="15" hidden="false" customHeight="false" outlineLevel="0" collapsed="false"/>
    <row r="2952" customFormat="false" ht="15" hidden="false" customHeight="false" outlineLevel="0" collapsed="false"/>
    <row r="2953" customFormat="false" ht="15" hidden="false" customHeight="false" outlineLevel="0" collapsed="false"/>
    <row r="2954" customFormat="false" ht="15" hidden="false" customHeight="false" outlineLevel="0" collapsed="false"/>
    <row r="2955" customFormat="false" ht="15" hidden="false" customHeight="false" outlineLevel="0" collapsed="false"/>
    <row r="2956" customFormat="false" ht="15" hidden="false" customHeight="false" outlineLevel="0" collapsed="false"/>
    <row r="2957" customFormat="false" ht="15" hidden="false" customHeight="false" outlineLevel="0" collapsed="false"/>
    <row r="2958" customFormat="false" ht="15" hidden="false" customHeight="false" outlineLevel="0" collapsed="false"/>
    <row r="2959" customFormat="false" ht="15" hidden="false" customHeight="false" outlineLevel="0" collapsed="false"/>
    <row r="2960" customFormat="false" ht="15" hidden="false" customHeight="false" outlineLevel="0" collapsed="false"/>
    <row r="2961" customFormat="false" ht="15" hidden="false" customHeight="false" outlineLevel="0" collapsed="false"/>
    <row r="2962" customFormat="false" ht="15" hidden="false" customHeight="false" outlineLevel="0" collapsed="false"/>
    <row r="2963" customFormat="false" ht="15" hidden="false" customHeight="false" outlineLevel="0" collapsed="false"/>
    <row r="2964" customFormat="false" ht="15" hidden="false" customHeight="false" outlineLevel="0" collapsed="false"/>
    <row r="2965" customFormat="false" ht="15" hidden="false" customHeight="false" outlineLevel="0" collapsed="false"/>
    <row r="2966" customFormat="false" ht="15" hidden="false" customHeight="false" outlineLevel="0" collapsed="false"/>
    <row r="2967" customFormat="false" ht="15" hidden="false" customHeight="false" outlineLevel="0" collapsed="false"/>
    <row r="2968" customFormat="false" ht="15" hidden="false" customHeight="false" outlineLevel="0" collapsed="false"/>
    <row r="2969" customFormat="false" ht="15" hidden="false" customHeight="false" outlineLevel="0" collapsed="false"/>
    <row r="2970" customFormat="false" ht="15" hidden="false" customHeight="false" outlineLevel="0" collapsed="false"/>
    <row r="2971" customFormat="false" ht="15" hidden="false" customHeight="false" outlineLevel="0" collapsed="false"/>
    <row r="2972" customFormat="false" ht="15" hidden="false" customHeight="false" outlineLevel="0" collapsed="false"/>
    <row r="2973" customFormat="false" ht="15" hidden="false" customHeight="false" outlineLevel="0" collapsed="false"/>
    <row r="2974" customFormat="false" ht="15" hidden="false" customHeight="false" outlineLevel="0" collapsed="false"/>
    <row r="2975" customFormat="false" ht="15" hidden="false" customHeight="false" outlineLevel="0" collapsed="false"/>
    <row r="2976" customFormat="false" ht="15" hidden="false" customHeight="false" outlineLevel="0" collapsed="false"/>
    <row r="2977" customFormat="false" ht="15" hidden="false" customHeight="false" outlineLevel="0" collapsed="false"/>
    <row r="2978" customFormat="false" ht="15" hidden="false" customHeight="false" outlineLevel="0" collapsed="false"/>
    <row r="2979" customFormat="false" ht="15" hidden="false" customHeight="false" outlineLevel="0" collapsed="false"/>
    <row r="2980" customFormat="false" ht="15" hidden="false" customHeight="false" outlineLevel="0" collapsed="false"/>
    <row r="2981" customFormat="false" ht="15" hidden="false" customHeight="false" outlineLevel="0" collapsed="false"/>
    <row r="2982" customFormat="false" ht="15" hidden="false" customHeight="false" outlineLevel="0" collapsed="false"/>
    <row r="2983" customFormat="false" ht="15" hidden="false" customHeight="false" outlineLevel="0" collapsed="false"/>
    <row r="2984" customFormat="false" ht="15" hidden="false" customHeight="false" outlineLevel="0" collapsed="false"/>
    <row r="2985" customFormat="false" ht="15" hidden="false" customHeight="false" outlineLevel="0" collapsed="false"/>
    <row r="2986" customFormat="false" ht="15" hidden="false" customHeight="false" outlineLevel="0" collapsed="false"/>
    <row r="2987" customFormat="false" ht="15" hidden="false" customHeight="false" outlineLevel="0" collapsed="false"/>
    <row r="2988" customFormat="false" ht="15" hidden="false" customHeight="false" outlineLevel="0" collapsed="false"/>
    <row r="2989" customFormat="false" ht="15" hidden="false" customHeight="false" outlineLevel="0" collapsed="false"/>
    <row r="2990" customFormat="false" ht="15" hidden="false" customHeight="false" outlineLevel="0" collapsed="false"/>
    <row r="2991" customFormat="false" ht="15" hidden="false" customHeight="false" outlineLevel="0" collapsed="false"/>
    <row r="2992" customFormat="false" ht="15" hidden="false" customHeight="false" outlineLevel="0" collapsed="false"/>
    <row r="2993" customFormat="false" ht="15" hidden="false" customHeight="false" outlineLevel="0" collapsed="false"/>
    <row r="2994" customFormat="false" ht="15" hidden="false" customHeight="false" outlineLevel="0" collapsed="false"/>
    <row r="2995" customFormat="false" ht="15" hidden="false" customHeight="false" outlineLevel="0" collapsed="false"/>
    <row r="2996" customFormat="false" ht="15" hidden="false" customHeight="false" outlineLevel="0" collapsed="false"/>
    <row r="2997" customFormat="false" ht="15" hidden="false" customHeight="false" outlineLevel="0" collapsed="false"/>
    <row r="2998" customFormat="false" ht="15" hidden="false" customHeight="false" outlineLevel="0" collapsed="false"/>
    <row r="2999" customFormat="false" ht="15" hidden="false" customHeight="false" outlineLevel="0" collapsed="false"/>
    <row r="3000" customFormat="false" ht="15" hidden="false" customHeight="false" outlineLevel="0" collapsed="false"/>
    <row r="3001" customFormat="false" ht="15" hidden="false" customHeight="false" outlineLevel="0" collapsed="false"/>
    <row r="3002" customFormat="false" ht="15" hidden="false" customHeight="false" outlineLevel="0" collapsed="false"/>
    <row r="3003" customFormat="false" ht="15" hidden="false" customHeight="false" outlineLevel="0" collapsed="false"/>
    <row r="3004" customFormat="false" ht="15" hidden="false" customHeight="false" outlineLevel="0" collapsed="false"/>
    <row r="3005" customFormat="false" ht="15" hidden="false" customHeight="false" outlineLevel="0" collapsed="false"/>
    <row r="3006" customFormat="false" ht="15" hidden="false" customHeight="false" outlineLevel="0" collapsed="false"/>
    <row r="3007" customFormat="false" ht="15" hidden="false" customHeight="false" outlineLevel="0" collapsed="false"/>
    <row r="3008" customFormat="false" ht="15" hidden="false" customHeight="false" outlineLevel="0" collapsed="false"/>
    <row r="3009" customFormat="false" ht="15" hidden="false" customHeight="false" outlineLevel="0" collapsed="false"/>
    <row r="3010" customFormat="false" ht="15" hidden="false" customHeight="false" outlineLevel="0" collapsed="false"/>
    <row r="3011" customFormat="false" ht="15" hidden="false" customHeight="false" outlineLevel="0" collapsed="false"/>
    <row r="3012" customFormat="false" ht="15" hidden="false" customHeight="false" outlineLevel="0" collapsed="false"/>
    <row r="3013" customFormat="false" ht="15" hidden="false" customHeight="false" outlineLevel="0" collapsed="false"/>
    <row r="3014" customFormat="false" ht="15" hidden="false" customHeight="false" outlineLevel="0" collapsed="false"/>
    <row r="3015" customFormat="false" ht="15" hidden="false" customHeight="false" outlineLevel="0" collapsed="false"/>
    <row r="3016" customFormat="false" ht="15" hidden="false" customHeight="false" outlineLevel="0" collapsed="false"/>
    <row r="3017" customFormat="false" ht="15" hidden="false" customHeight="false" outlineLevel="0" collapsed="false"/>
    <row r="3018" customFormat="false" ht="15" hidden="false" customHeight="false" outlineLevel="0" collapsed="false"/>
    <row r="3019" customFormat="false" ht="15" hidden="false" customHeight="false" outlineLevel="0" collapsed="false"/>
    <row r="3020" customFormat="false" ht="15" hidden="false" customHeight="false" outlineLevel="0" collapsed="false"/>
    <row r="3021" customFormat="false" ht="15" hidden="false" customHeight="false" outlineLevel="0" collapsed="false"/>
    <row r="3022" customFormat="false" ht="15" hidden="false" customHeight="false" outlineLevel="0" collapsed="false"/>
    <row r="3023" customFormat="false" ht="15" hidden="false" customHeight="false" outlineLevel="0" collapsed="false"/>
    <row r="3024" customFormat="false" ht="15" hidden="false" customHeight="false" outlineLevel="0" collapsed="false"/>
    <row r="3025" customFormat="false" ht="15" hidden="false" customHeight="false" outlineLevel="0" collapsed="false"/>
    <row r="3026" customFormat="false" ht="15" hidden="false" customHeight="false" outlineLevel="0" collapsed="false"/>
    <row r="3027" customFormat="false" ht="15" hidden="false" customHeight="false" outlineLevel="0" collapsed="false"/>
    <row r="3028" customFormat="false" ht="15" hidden="false" customHeight="false" outlineLevel="0" collapsed="false"/>
    <row r="3029" customFormat="false" ht="15" hidden="false" customHeight="false" outlineLevel="0" collapsed="false"/>
    <row r="3030" customFormat="false" ht="15" hidden="false" customHeight="false" outlineLevel="0" collapsed="false"/>
    <row r="3031" customFormat="false" ht="15" hidden="false" customHeight="false" outlineLevel="0" collapsed="false"/>
    <row r="3032" customFormat="false" ht="15" hidden="false" customHeight="false" outlineLevel="0" collapsed="false"/>
    <row r="3033" customFormat="false" ht="15" hidden="false" customHeight="false" outlineLevel="0" collapsed="false"/>
    <row r="3034" customFormat="false" ht="15" hidden="false" customHeight="false" outlineLevel="0" collapsed="false"/>
    <row r="3035" customFormat="false" ht="15" hidden="false" customHeight="false" outlineLevel="0" collapsed="false"/>
    <row r="3036" customFormat="false" ht="15" hidden="false" customHeight="false" outlineLevel="0" collapsed="false"/>
    <row r="3037" customFormat="false" ht="15" hidden="false" customHeight="false" outlineLevel="0" collapsed="false"/>
    <row r="3038" customFormat="false" ht="15" hidden="false" customHeight="false" outlineLevel="0" collapsed="false"/>
    <row r="3039" customFormat="false" ht="15" hidden="false" customHeight="false" outlineLevel="0" collapsed="false"/>
    <row r="3040" customFormat="false" ht="15" hidden="false" customHeight="false" outlineLevel="0" collapsed="false"/>
    <row r="3041" customFormat="false" ht="15" hidden="false" customHeight="false" outlineLevel="0" collapsed="false"/>
    <row r="3042" customFormat="false" ht="15" hidden="false" customHeight="false" outlineLevel="0" collapsed="false"/>
    <row r="3043" customFormat="false" ht="15" hidden="false" customHeight="false" outlineLevel="0" collapsed="false"/>
    <row r="3044" customFormat="false" ht="15" hidden="false" customHeight="false" outlineLevel="0" collapsed="false"/>
    <row r="3045" customFormat="false" ht="15" hidden="false" customHeight="false" outlineLevel="0" collapsed="false"/>
    <row r="3046" customFormat="false" ht="15" hidden="false" customHeight="false" outlineLevel="0" collapsed="false"/>
    <row r="3047" customFormat="false" ht="15" hidden="false" customHeight="false" outlineLevel="0" collapsed="false"/>
    <row r="3048" customFormat="false" ht="15" hidden="false" customHeight="false" outlineLevel="0" collapsed="false"/>
    <row r="3049" customFormat="false" ht="15" hidden="false" customHeight="false" outlineLevel="0" collapsed="false"/>
    <row r="3050" customFormat="false" ht="15" hidden="false" customHeight="false" outlineLevel="0" collapsed="false"/>
    <row r="3051" customFormat="false" ht="15" hidden="false" customHeight="false" outlineLevel="0" collapsed="false"/>
    <row r="3052" customFormat="false" ht="15" hidden="false" customHeight="false" outlineLevel="0" collapsed="false"/>
    <row r="3053" customFormat="false" ht="15" hidden="false" customHeight="false" outlineLevel="0" collapsed="false"/>
    <row r="3054" customFormat="false" ht="15" hidden="false" customHeight="false" outlineLevel="0" collapsed="false"/>
    <row r="3055" customFormat="false" ht="15" hidden="false" customHeight="false" outlineLevel="0" collapsed="false"/>
    <row r="3056" customFormat="false" ht="15" hidden="false" customHeight="false" outlineLevel="0" collapsed="false"/>
    <row r="3057" customFormat="false" ht="15" hidden="false" customHeight="false" outlineLevel="0" collapsed="false"/>
    <row r="3058" customFormat="false" ht="15" hidden="false" customHeight="false" outlineLevel="0" collapsed="false"/>
    <row r="3059" customFormat="false" ht="15" hidden="false" customHeight="false" outlineLevel="0" collapsed="false"/>
    <row r="3060" customFormat="false" ht="15" hidden="false" customHeight="false" outlineLevel="0" collapsed="false"/>
    <row r="3061" customFormat="false" ht="15" hidden="false" customHeight="false" outlineLevel="0" collapsed="false"/>
    <row r="3062" customFormat="false" ht="15" hidden="false" customHeight="false" outlineLevel="0" collapsed="false"/>
    <row r="3063" customFormat="false" ht="15" hidden="false" customHeight="false" outlineLevel="0" collapsed="false"/>
    <row r="3064" customFormat="false" ht="15" hidden="false" customHeight="false" outlineLevel="0" collapsed="false"/>
    <row r="3065" customFormat="false" ht="15" hidden="false" customHeight="false" outlineLevel="0" collapsed="false"/>
    <row r="3066" customFormat="false" ht="15" hidden="false" customHeight="false" outlineLevel="0" collapsed="false"/>
    <row r="3067" customFormat="false" ht="15" hidden="false" customHeight="false" outlineLevel="0" collapsed="false"/>
    <row r="3068" customFormat="false" ht="15" hidden="false" customHeight="false" outlineLevel="0" collapsed="false"/>
    <row r="3069" customFormat="false" ht="15" hidden="false" customHeight="false" outlineLevel="0" collapsed="false"/>
    <row r="3070" customFormat="false" ht="15" hidden="false" customHeight="false" outlineLevel="0" collapsed="false"/>
    <row r="3071" customFormat="false" ht="15" hidden="false" customHeight="false" outlineLevel="0" collapsed="false"/>
    <row r="3072" customFormat="false" ht="15" hidden="false" customHeight="false" outlineLevel="0" collapsed="false"/>
    <row r="3073" customFormat="false" ht="15" hidden="false" customHeight="false" outlineLevel="0" collapsed="false"/>
    <row r="3074" customFormat="false" ht="15" hidden="false" customHeight="false" outlineLevel="0" collapsed="false"/>
    <row r="3075" customFormat="false" ht="15" hidden="false" customHeight="false" outlineLevel="0" collapsed="false"/>
    <row r="3076" customFormat="false" ht="15" hidden="false" customHeight="false" outlineLevel="0" collapsed="false"/>
    <row r="3077" customFormat="false" ht="15" hidden="false" customHeight="false" outlineLevel="0" collapsed="false"/>
    <row r="3078" customFormat="false" ht="15" hidden="false" customHeight="false" outlineLevel="0" collapsed="false"/>
    <row r="3079" customFormat="false" ht="15" hidden="false" customHeight="false" outlineLevel="0" collapsed="false"/>
    <row r="3080" customFormat="false" ht="15" hidden="false" customHeight="false" outlineLevel="0" collapsed="false"/>
    <row r="3081" customFormat="false" ht="15" hidden="false" customHeight="false" outlineLevel="0" collapsed="false"/>
    <row r="3082" customFormat="false" ht="15" hidden="false" customHeight="false" outlineLevel="0" collapsed="false"/>
    <row r="3083" customFormat="false" ht="15" hidden="false" customHeight="false" outlineLevel="0" collapsed="false"/>
    <row r="3084" customFormat="false" ht="15" hidden="false" customHeight="false" outlineLevel="0" collapsed="false"/>
    <row r="3085" customFormat="false" ht="15" hidden="false" customHeight="false" outlineLevel="0" collapsed="false"/>
    <row r="3086" customFormat="false" ht="15" hidden="false" customHeight="false" outlineLevel="0" collapsed="false"/>
    <row r="3087" customFormat="false" ht="15" hidden="false" customHeight="false" outlineLevel="0" collapsed="false"/>
    <row r="3088" customFormat="false" ht="15" hidden="false" customHeight="false" outlineLevel="0" collapsed="false"/>
    <row r="3089" customFormat="false" ht="15" hidden="false" customHeight="false" outlineLevel="0" collapsed="false"/>
    <row r="3090" customFormat="false" ht="15" hidden="false" customHeight="false" outlineLevel="0" collapsed="false"/>
    <row r="3091" customFormat="false" ht="15" hidden="false" customHeight="false" outlineLevel="0" collapsed="false"/>
    <row r="3092" customFormat="false" ht="15" hidden="false" customHeight="false" outlineLevel="0" collapsed="false"/>
    <row r="3093" customFormat="false" ht="15" hidden="false" customHeight="false" outlineLevel="0" collapsed="false"/>
    <row r="3094" customFormat="false" ht="15" hidden="false" customHeight="false" outlineLevel="0" collapsed="false"/>
    <row r="3095" customFormat="false" ht="15" hidden="false" customHeight="false" outlineLevel="0" collapsed="false"/>
    <row r="3096" customFormat="false" ht="15" hidden="false" customHeight="false" outlineLevel="0" collapsed="false"/>
    <row r="3097" customFormat="false" ht="15" hidden="false" customHeight="false" outlineLevel="0" collapsed="false"/>
    <row r="3098" customFormat="false" ht="15" hidden="false" customHeight="false" outlineLevel="0" collapsed="false"/>
    <row r="3099" customFormat="false" ht="15" hidden="false" customHeight="false" outlineLevel="0" collapsed="false"/>
    <row r="3100" customFormat="false" ht="15" hidden="false" customHeight="false" outlineLevel="0" collapsed="false"/>
    <row r="3101" customFormat="false" ht="15" hidden="false" customHeight="false" outlineLevel="0" collapsed="false"/>
    <row r="3102" customFormat="false" ht="15" hidden="false" customHeight="false" outlineLevel="0" collapsed="false"/>
    <row r="3103" customFormat="false" ht="15" hidden="false" customHeight="false" outlineLevel="0" collapsed="false"/>
    <row r="3104" customFormat="false" ht="15" hidden="false" customHeight="false" outlineLevel="0" collapsed="false"/>
    <row r="3105" customFormat="false" ht="15" hidden="false" customHeight="false" outlineLevel="0" collapsed="false"/>
    <row r="3106" customFormat="false" ht="15" hidden="false" customHeight="false" outlineLevel="0" collapsed="false"/>
    <row r="3107" customFormat="false" ht="15" hidden="false" customHeight="false" outlineLevel="0" collapsed="false"/>
    <row r="3108" customFormat="false" ht="15" hidden="false" customHeight="false" outlineLevel="0" collapsed="false"/>
    <row r="3109" customFormat="false" ht="15" hidden="false" customHeight="false" outlineLevel="0" collapsed="false"/>
    <row r="3110" customFormat="false" ht="15" hidden="false" customHeight="false" outlineLevel="0" collapsed="false"/>
    <row r="3111" customFormat="false" ht="15" hidden="false" customHeight="false" outlineLevel="0" collapsed="false"/>
    <row r="3112" customFormat="false" ht="15" hidden="false" customHeight="false" outlineLevel="0" collapsed="false"/>
    <row r="3113" customFormat="false" ht="15" hidden="false" customHeight="false" outlineLevel="0" collapsed="false"/>
    <row r="3114" customFormat="false" ht="15" hidden="false" customHeight="false" outlineLevel="0" collapsed="false"/>
    <row r="3115" customFormat="false" ht="15" hidden="false" customHeight="false" outlineLevel="0" collapsed="false"/>
    <row r="3116" customFormat="false" ht="15" hidden="false" customHeight="false" outlineLevel="0" collapsed="false"/>
    <row r="3117" customFormat="false" ht="15" hidden="false" customHeight="false" outlineLevel="0" collapsed="false"/>
    <row r="3118" customFormat="false" ht="15" hidden="false" customHeight="false" outlineLevel="0" collapsed="false"/>
    <row r="3119" customFormat="false" ht="15" hidden="false" customHeight="false" outlineLevel="0" collapsed="false"/>
    <row r="3120" customFormat="false" ht="15" hidden="false" customHeight="false" outlineLevel="0" collapsed="false"/>
    <row r="3121" customFormat="false" ht="15" hidden="false" customHeight="false" outlineLevel="0" collapsed="false"/>
    <row r="3122" customFormat="false" ht="15" hidden="false" customHeight="false" outlineLevel="0" collapsed="false"/>
    <row r="3123" customFormat="false" ht="15" hidden="false" customHeight="false" outlineLevel="0" collapsed="false"/>
    <row r="3124" customFormat="false" ht="15" hidden="false" customHeight="false" outlineLevel="0" collapsed="false"/>
    <row r="3125" customFormat="false" ht="15" hidden="false" customHeight="false" outlineLevel="0" collapsed="false"/>
    <row r="3126" customFormat="false" ht="15" hidden="false" customHeight="false" outlineLevel="0" collapsed="false"/>
    <row r="3127" customFormat="false" ht="15" hidden="false" customHeight="false" outlineLevel="0" collapsed="false"/>
    <row r="3128" customFormat="false" ht="15" hidden="false" customHeight="false" outlineLevel="0" collapsed="false"/>
    <row r="3129" customFormat="false" ht="15" hidden="false" customHeight="false" outlineLevel="0" collapsed="false"/>
    <row r="3130" customFormat="false" ht="15" hidden="false" customHeight="false" outlineLevel="0" collapsed="false"/>
    <row r="3131" customFormat="false" ht="15" hidden="false" customHeight="false" outlineLevel="0" collapsed="false"/>
    <row r="3132" customFormat="false" ht="15" hidden="false" customHeight="false" outlineLevel="0" collapsed="false"/>
    <row r="3133" customFormat="false" ht="15" hidden="false" customHeight="false" outlineLevel="0" collapsed="false"/>
    <row r="3134" customFormat="false" ht="15" hidden="false" customHeight="false" outlineLevel="0" collapsed="false"/>
    <row r="3135" customFormat="false" ht="15" hidden="false" customHeight="false" outlineLevel="0" collapsed="false"/>
    <row r="3136" customFormat="false" ht="15" hidden="false" customHeight="false" outlineLevel="0" collapsed="false"/>
    <row r="3137" customFormat="false" ht="15" hidden="false" customHeight="false" outlineLevel="0" collapsed="false"/>
    <row r="3138" customFormat="false" ht="15" hidden="false" customHeight="false" outlineLevel="0" collapsed="false"/>
    <row r="3139" customFormat="false" ht="15" hidden="false" customHeight="false" outlineLevel="0" collapsed="false"/>
    <row r="3140" customFormat="false" ht="15" hidden="false" customHeight="false" outlineLevel="0" collapsed="false"/>
    <row r="3141" customFormat="false" ht="15" hidden="false" customHeight="false" outlineLevel="0" collapsed="false"/>
    <row r="3142" customFormat="false" ht="15" hidden="false" customHeight="false" outlineLevel="0" collapsed="false"/>
    <row r="3143" customFormat="false" ht="15" hidden="false" customHeight="false" outlineLevel="0" collapsed="false"/>
    <row r="3144" customFormat="false" ht="15" hidden="false" customHeight="false" outlineLevel="0" collapsed="false"/>
    <row r="3145" customFormat="false" ht="15" hidden="false" customHeight="false" outlineLevel="0" collapsed="false"/>
    <row r="3146" customFormat="false" ht="15" hidden="false" customHeight="false" outlineLevel="0" collapsed="false"/>
    <row r="3147" customFormat="false" ht="15" hidden="false" customHeight="false" outlineLevel="0" collapsed="false"/>
    <row r="3148" customFormat="false" ht="15" hidden="false" customHeight="false" outlineLevel="0" collapsed="false"/>
    <row r="3149" customFormat="false" ht="15" hidden="false" customHeight="false" outlineLevel="0" collapsed="false"/>
    <row r="3150" customFormat="false" ht="15" hidden="false" customHeight="false" outlineLevel="0" collapsed="false"/>
    <row r="3151" customFormat="false" ht="15" hidden="false" customHeight="false" outlineLevel="0" collapsed="false"/>
    <row r="3152" customFormat="false" ht="15" hidden="false" customHeight="false" outlineLevel="0" collapsed="false"/>
    <row r="3153" customFormat="false" ht="15" hidden="false" customHeight="false" outlineLevel="0" collapsed="false"/>
    <row r="3154" customFormat="false" ht="15" hidden="false" customHeight="false" outlineLevel="0" collapsed="false"/>
    <row r="3155" customFormat="false" ht="15" hidden="false" customHeight="false" outlineLevel="0" collapsed="false"/>
    <row r="3156" customFormat="false" ht="15" hidden="false" customHeight="false" outlineLevel="0" collapsed="false"/>
    <row r="3157" customFormat="false" ht="15" hidden="false" customHeight="false" outlineLevel="0" collapsed="false"/>
    <row r="3158" customFormat="false" ht="15" hidden="false" customHeight="false" outlineLevel="0" collapsed="false"/>
    <row r="3159" customFormat="false" ht="15" hidden="false" customHeight="false" outlineLevel="0" collapsed="false"/>
    <row r="3160" customFormat="false" ht="15" hidden="false" customHeight="false" outlineLevel="0" collapsed="false"/>
    <row r="3161" customFormat="false" ht="15" hidden="false" customHeight="false" outlineLevel="0" collapsed="false"/>
    <row r="3162" customFormat="false" ht="15" hidden="false" customHeight="false" outlineLevel="0" collapsed="false"/>
    <row r="3163" customFormat="false" ht="15" hidden="false" customHeight="false" outlineLevel="0" collapsed="false"/>
    <row r="3164" customFormat="false" ht="15" hidden="false" customHeight="false" outlineLevel="0" collapsed="false"/>
    <row r="3165" customFormat="false" ht="15" hidden="false" customHeight="false" outlineLevel="0" collapsed="false"/>
    <row r="3166" customFormat="false" ht="15" hidden="false" customHeight="false" outlineLevel="0" collapsed="false"/>
    <row r="3167" customFormat="false" ht="15" hidden="false" customHeight="false" outlineLevel="0" collapsed="false"/>
    <row r="3168" customFormat="false" ht="15" hidden="false" customHeight="false" outlineLevel="0" collapsed="false"/>
    <row r="3169" customFormat="false" ht="15" hidden="false" customHeight="false" outlineLevel="0" collapsed="false"/>
    <row r="3170" customFormat="false" ht="15" hidden="false" customHeight="false" outlineLevel="0" collapsed="false"/>
    <row r="3171" customFormat="false" ht="15" hidden="false" customHeight="false" outlineLevel="0" collapsed="false"/>
    <row r="3172" customFormat="false" ht="15" hidden="false" customHeight="false" outlineLevel="0" collapsed="false"/>
    <row r="3173" customFormat="false" ht="15" hidden="false" customHeight="false" outlineLevel="0" collapsed="false"/>
    <row r="3174" customFormat="false" ht="15" hidden="false" customHeight="false" outlineLevel="0" collapsed="false"/>
    <row r="3175" customFormat="false" ht="15" hidden="false" customHeight="false" outlineLevel="0" collapsed="false"/>
    <row r="3176" customFormat="false" ht="15" hidden="false" customHeight="false" outlineLevel="0" collapsed="false"/>
    <row r="3177" customFormat="false" ht="15" hidden="false" customHeight="false" outlineLevel="0" collapsed="false"/>
    <row r="3178" customFormat="false" ht="15" hidden="false" customHeight="false" outlineLevel="0" collapsed="false"/>
    <row r="3179" customFormat="false" ht="15" hidden="false" customHeight="false" outlineLevel="0" collapsed="false"/>
    <row r="3180" customFormat="false" ht="15" hidden="false" customHeight="false" outlineLevel="0" collapsed="false"/>
    <row r="3181" customFormat="false" ht="15" hidden="false" customHeight="false" outlineLevel="0" collapsed="false"/>
    <row r="3182" customFormat="false" ht="15" hidden="false" customHeight="false" outlineLevel="0" collapsed="false"/>
    <row r="3183" customFormat="false" ht="15" hidden="false" customHeight="false" outlineLevel="0" collapsed="false"/>
    <row r="3184" customFormat="false" ht="15" hidden="false" customHeight="false" outlineLevel="0" collapsed="false"/>
    <row r="3185" customFormat="false" ht="15" hidden="false" customHeight="false" outlineLevel="0" collapsed="false"/>
    <row r="3186" customFormat="false" ht="15" hidden="false" customHeight="false" outlineLevel="0" collapsed="false"/>
    <row r="3187" customFormat="false" ht="15" hidden="false" customHeight="false" outlineLevel="0" collapsed="false"/>
    <row r="3188" customFormat="false" ht="15" hidden="false" customHeight="false" outlineLevel="0" collapsed="false"/>
    <row r="3189" customFormat="false" ht="15" hidden="false" customHeight="false" outlineLevel="0" collapsed="false"/>
    <row r="3190" customFormat="false" ht="15" hidden="false" customHeight="false" outlineLevel="0" collapsed="false"/>
    <row r="3191" customFormat="false" ht="15" hidden="false" customHeight="false" outlineLevel="0" collapsed="false"/>
    <row r="3192" customFormat="false" ht="15" hidden="false" customHeight="false" outlineLevel="0" collapsed="false"/>
    <row r="3193" customFormat="false" ht="15" hidden="false" customHeight="false" outlineLevel="0" collapsed="false"/>
    <row r="3194" customFormat="false" ht="15" hidden="false" customHeight="false" outlineLevel="0" collapsed="false"/>
    <row r="3195" customFormat="false" ht="15" hidden="false" customHeight="false" outlineLevel="0" collapsed="false"/>
    <row r="3196" customFormat="false" ht="15" hidden="false" customHeight="false" outlineLevel="0" collapsed="false"/>
    <row r="3197" customFormat="false" ht="15" hidden="false" customHeight="false" outlineLevel="0" collapsed="false"/>
    <row r="3198" customFormat="false" ht="15" hidden="false" customHeight="false" outlineLevel="0" collapsed="false"/>
    <row r="3199" customFormat="false" ht="15" hidden="false" customHeight="false" outlineLevel="0" collapsed="false"/>
    <row r="3200" customFormat="false" ht="15" hidden="false" customHeight="false" outlineLevel="0" collapsed="false"/>
    <row r="3201" customFormat="false" ht="15" hidden="false" customHeight="false" outlineLevel="0" collapsed="false"/>
    <row r="3202" customFormat="false" ht="15" hidden="false" customHeight="false" outlineLevel="0" collapsed="false"/>
    <row r="3203" customFormat="false" ht="15" hidden="false" customHeight="false" outlineLevel="0" collapsed="false"/>
    <row r="3204" customFormat="false" ht="15" hidden="false" customHeight="false" outlineLevel="0" collapsed="false"/>
    <row r="3205" customFormat="false" ht="15" hidden="false" customHeight="false" outlineLevel="0" collapsed="false"/>
    <row r="3206" customFormat="false" ht="15" hidden="false" customHeight="false" outlineLevel="0" collapsed="false"/>
    <row r="3207" customFormat="false" ht="15" hidden="false" customHeight="false" outlineLevel="0" collapsed="false"/>
    <row r="3208" customFormat="false" ht="15" hidden="false" customHeight="false" outlineLevel="0" collapsed="false"/>
    <row r="3209" customFormat="false" ht="15" hidden="false" customHeight="false" outlineLevel="0" collapsed="false"/>
    <row r="3210" customFormat="false" ht="15" hidden="false" customHeight="false" outlineLevel="0" collapsed="false"/>
    <row r="3211" customFormat="false" ht="15" hidden="false" customHeight="false" outlineLevel="0" collapsed="false"/>
    <row r="3212" customFormat="false" ht="15" hidden="false" customHeight="false" outlineLevel="0" collapsed="false"/>
    <row r="3213" customFormat="false" ht="15" hidden="false" customHeight="false" outlineLevel="0" collapsed="false"/>
    <row r="3214" customFormat="false" ht="15" hidden="false" customHeight="false" outlineLevel="0" collapsed="false"/>
    <row r="3215" customFormat="false" ht="15" hidden="false" customHeight="false" outlineLevel="0" collapsed="false"/>
    <row r="3216" customFormat="false" ht="15" hidden="false" customHeight="false" outlineLevel="0" collapsed="false"/>
    <row r="3217" customFormat="false" ht="15" hidden="false" customHeight="false" outlineLevel="0" collapsed="false"/>
    <row r="3218" customFormat="false" ht="15" hidden="false" customHeight="false" outlineLevel="0" collapsed="false"/>
    <row r="3219" customFormat="false" ht="15" hidden="false" customHeight="false" outlineLevel="0" collapsed="false"/>
    <row r="3220" customFormat="false" ht="15" hidden="false" customHeight="false" outlineLevel="0" collapsed="false"/>
    <row r="3221" customFormat="false" ht="15" hidden="false" customHeight="false" outlineLevel="0" collapsed="false"/>
    <row r="3222" customFormat="false" ht="15" hidden="false" customHeight="false" outlineLevel="0" collapsed="false"/>
    <row r="3223" customFormat="false" ht="15" hidden="false" customHeight="false" outlineLevel="0" collapsed="false"/>
    <row r="3224" customFormat="false" ht="15" hidden="false" customHeight="false" outlineLevel="0" collapsed="false"/>
    <row r="3225" customFormat="false" ht="15" hidden="false" customHeight="false" outlineLevel="0" collapsed="false"/>
    <row r="3226" customFormat="false" ht="15" hidden="false" customHeight="false" outlineLevel="0" collapsed="false"/>
    <row r="3227" customFormat="false" ht="15" hidden="false" customHeight="false" outlineLevel="0" collapsed="false"/>
    <row r="3228" customFormat="false" ht="15" hidden="false" customHeight="false" outlineLevel="0" collapsed="false"/>
    <row r="3229" customFormat="false" ht="15" hidden="false" customHeight="false" outlineLevel="0" collapsed="false"/>
    <row r="3230" customFormat="false" ht="15" hidden="false" customHeight="false" outlineLevel="0" collapsed="false"/>
    <row r="3231" customFormat="false" ht="15" hidden="false" customHeight="false" outlineLevel="0" collapsed="false"/>
    <row r="3232" customFormat="false" ht="15" hidden="false" customHeight="false" outlineLevel="0" collapsed="false"/>
    <row r="3233" customFormat="false" ht="15" hidden="false" customHeight="false" outlineLevel="0" collapsed="false"/>
    <row r="3234" customFormat="false" ht="15" hidden="false" customHeight="false" outlineLevel="0" collapsed="false"/>
    <row r="3235" customFormat="false" ht="15" hidden="false" customHeight="false" outlineLevel="0" collapsed="false"/>
    <row r="3236" customFormat="false" ht="15" hidden="false" customHeight="false" outlineLevel="0" collapsed="false"/>
    <row r="3237" customFormat="false" ht="15" hidden="false" customHeight="false" outlineLevel="0" collapsed="false"/>
    <row r="3238" customFormat="false" ht="15" hidden="false" customHeight="false" outlineLevel="0" collapsed="false"/>
    <row r="3239" customFormat="false" ht="15" hidden="false" customHeight="false" outlineLevel="0" collapsed="false"/>
    <row r="3240" customFormat="false" ht="15" hidden="false" customHeight="false" outlineLevel="0" collapsed="false"/>
    <row r="3241" customFormat="false" ht="15" hidden="false" customHeight="false" outlineLevel="0" collapsed="false"/>
    <row r="3242" customFormat="false" ht="15" hidden="false" customHeight="false" outlineLevel="0" collapsed="false"/>
    <row r="3243" customFormat="false" ht="15" hidden="false" customHeight="false" outlineLevel="0" collapsed="false"/>
    <row r="3244" customFormat="false" ht="15" hidden="false" customHeight="false" outlineLevel="0" collapsed="false"/>
    <row r="3245" customFormat="false" ht="15" hidden="false" customHeight="false" outlineLevel="0" collapsed="false"/>
    <row r="3246" customFormat="false" ht="15" hidden="false" customHeight="false" outlineLevel="0" collapsed="false"/>
    <row r="3247" customFormat="false" ht="15" hidden="false" customHeight="false" outlineLevel="0" collapsed="false"/>
    <row r="3248" customFormat="false" ht="15" hidden="false" customHeight="false" outlineLevel="0" collapsed="false"/>
    <row r="3249" customFormat="false" ht="15" hidden="false" customHeight="false" outlineLevel="0" collapsed="false"/>
    <row r="3250" customFormat="false" ht="15" hidden="false" customHeight="false" outlineLevel="0" collapsed="false"/>
    <row r="3251" customFormat="false" ht="15" hidden="false" customHeight="false" outlineLevel="0" collapsed="false"/>
    <row r="3252" customFormat="false" ht="15" hidden="false" customHeight="false" outlineLevel="0" collapsed="false"/>
    <row r="3253" customFormat="false" ht="15" hidden="false" customHeight="false" outlineLevel="0" collapsed="false"/>
    <row r="3254" customFormat="false" ht="15" hidden="false" customHeight="false" outlineLevel="0" collapsed="false"/>
    <row r="3255" customFormat="false" ht="15" hidden="false" customHeight="false" outlineLevel="0" collapsed="false"/>
    <row r="3256" customFormat="false" ht="15" hidden="false" customHeight="false" outlineLevel="0" collapsed="false"/>
    <row r="3257" customFormat="false" ht="15" hidden="false" customHeight="false" outlineLevel="0" collapsed="false"/>
    <row r="3258" customFormat="false" ht="15" hidden="false" customHeight="false" outlineLevel="0" collapsed="false"/>
    <row r="3259" customFormat="false" ht="15" hidden="false" customHeight="false" outlineLevel="0" collapsed="false"/>
    <row r="3260" customFormat="false" ht="15" hidden="false" customHeight="false" outlineLevel="0" collapsed="false"/>
    <row r="3261" customFormat="false" ht="15" hidden="false" customHeight="false" outlineLevel="0" collapsed="false"/>
    <row r="3262" customFormat="false" ht="15" hidden="false" customHeight="false" outlineLevel="0" collapsed="false"/>
    <row r="3263" customFormat="false" ht="15" hidden="false" customHeight="false" outlineLevel="0" collapsed="false"/>
    <row r="3264" customFormat="false" ht="15" hidden="false" customHeight="false" outlineLevel="0" collapsed="false"/>
    <row r="3265" customFormat="false" ht="15" hidden="false" customHeight="false" outlineLevel="0" collapsed="false"/>
    <row r="3266" customFormat="false" ht="15" hidden="false" customHeight="false" outlineLevel="0" collapsed="false"/>
    <row r="3267" customFormat="false" ht="15" hidden="false" customHeight="false" outlineLevel="0" collapsed="false"/>
    <row r="3268" customFormat="false" ht="15" hidden="false" customHeight="false" outlineLevel="0" collapsed="false"/>
    <row r="3269" customFormat="false" ht="15" hidden="false" customHeight="false" outlineLevel="0" collapsed="false"/>
    <row r="3270" customFormat="false" ht="15" hidden="false" customHeight="false" outlineLevel="0" collapsed="false"/>
    <row r="3271" customFormat="false" ht="15" hidden="false" customHeight="false" outlineLevel="0" collapsed="false"/>
    <row r="3272" customFormat="false" ht="15" hidden="false" customHeight="false" outlineLevel="0" collapsed="false"/>
    <row r="3273" customFormat="false" ht="15" hidden="false" customHeight="false" outlineLevel="0" collapsed="false"/>
    <row r="3274" customFormat="false" ht="15" hidden="false" customHeight="false" outlineLevel="0" collapsed="false"/>
    <row r="3275" customFormat="false" ht="15" hidden="false" customHeight="false" outlineLevel="0" collapsed="false"/>
    <row r="3276" customFormat="false" ht="15" hidden="false" customHeight="false" outlineLevel="0" collapsed="false"/>
    <row r="3277" customFormat="false" ht="15" hidden="false" customHeight="false" outlineLevel="0" collapsed="false"/>
    <row r="3278" customFormat="false" ht="15" hidden="false" customHeight="false" outlineLevel="0" collapsed="false"/>
    <row r="3279" customFormat="false" ht="15" hidden="false" customHeight="false" outlineLevel="0" collapsed="false"/>
    <row r="3280" customFormat="false" ht="15" hidden="false" customHeight="false" outlineLevel="0" collapsed="false"/>
    <row r="3281" customFormat="false" ht="15" hidden="false" customHeight="false" outlineLevel="0" collapsed="false"/>
    <row r="3282" customFormat="false" ht="15" hidden="false" customHeight="false" outlineLevel="0" collapsed="false"/>
    <row r="3283" customFormat="false" ht="15" hidden="false" customHeight="false" outlineLevel="0" collapsed="false"/>
    <row r="3284" customFormat="false" ht="15" hidden="false" customHeight="false" outlineLevel="0" collapsed="false"/>
    <row r="3285" customFormat="false" ht="15" hidden="false" customHeight="false" outlineLevel="0" collapsed="false"/>
    <row r="3286" customFormat="false" ht="15" hidden="false" customHeight="false" outlineLevel="0" collapsed="false"/>
    <row r="3287" customFormat="false" ht="15" hidden="false" customHeight="false" outlineLevel="0" collapsed="false"/>
    <row r="3288" customFormat="false" ht="15" hidden="false" customHeight="false" outlineLevel="0" collapsed="false"/>
    <row r="3289" customFormat="false" ht="15" hidden="false" customHeight="false" outlineLevel="0" collapsed="false"/>
    <row r="3290" customFormat="false" ht="15" hidden="false" customHeight="false" outlineLevel="0" collapsed="false"/>
    <row r="3291" customFormat="false" ht="15" hidden="false" customHeight="false" outlineLevel="0" collapsed="false"/>
    <row r="3292" customFormat="false" ht="15" hidden="false" customHeight="false" outlineLevel="0" collapsed="false"/>
    <row r="3293" customFormat="false" ht="15" hidden="false" customHeight="false" outlineLevel="0" collapsed="false"/>
    <row r="3294" customFormat="false" ht="15" hidden="false" customHeight="false" outlineLevel="0" collapsed="false"/>
    <row r="3295" customFormat="false" ht="15" hidden="false" customHeight="false" outlineLevel="0" collapsed="false"/>
    <row r="3296" customFormat="false" ht="15" hidden="false" customHeight="false" outlineLevel="0" collapsed="false"/>
    <row r="3297" customFormat="false" ht="15" hidden="false" customHeight="false" outlineLevel="0" collapsed="false"/>
    <row r="3298" customFormat="false" ht="15" hidden="false" customHeight="false" outlineLevel="0" collapsed="false"/>
    <row r="3299" customFormat="false" ht="15" hidden="false" customHeight="false" outlineLevel="0" collapsed="false"/>
    <row r="3300" customFormat="false" ht="15" hidden="false" customHeight="false" outlineLevel="0" collapsed="false"/>
    <row r="3301" customFormat="false" ht="15" hidden="false" customHeight="false" outlineLevel="0" collapsed="false"/>
    <row r="3302" customFormat="false" ht="15" hidden="false" customHeight="false" outlineLevel="0" collapsed="false"/>
    <row r="3303" customFormat="false" ht="15" hidden="false" customHeight="false" outlineLevel="0" collapsed="false"/>
    <row r="3304" customFormat="false" ht="15" hidden="false" customHeight="false" outlineLevel="0" collapsed="false"/>
    <row r="3305" customFormat="false" ht="15" hidden="false" customHeight="false" outlineLevel="0" collapsed="false"/>
    <row r="3306" customFormat="false" ht="15" hidden="false" customHeight="false" outlineLevel="0" collapsed="false"/>
    <row r="3307" customFormat="false" ht="15" hidden="false" customHeight="false" outlineLevel="0" collapsed="false"/>
    <row r="3308" customFormat="false" ht="15" hidden="false" customHeight="false" outlineLevel="0" collapsed="false"/>
    <row r="3309" customFormat="false" ht="15" hidden="false" customHeight="false" outlineLevel="0" collapsed="false"/>
    <row r="3310" customFormat="false" ht="15" hidden="false" customHeight="false" outlineLevel="0" collapsed="false"/>
    <row r="3311" customFormat="false" ht="15" hidden="false" customHeight="false" outlineLevel="0" collapsed="false"/>
    <row r="3312" customFormat="false" ht="15" hidden="false" customHeight="false" outlineLevel="0" collapsed="false"/>
    <row r="3313" customFormat="false" ht="15" hidden="false" customHeight="false" outlineLevel="0" collapsed="false"/>
    <row r="3314" customFormat="false" ht="15" hidden="false" customHeight="false" outlineLevel="0" collapsed="false"/>
    <row r="3315" customFormat="false" ht="15" hidden="false" customHeight="false" outlineLevel="0" collapsed="false"/>
    <row r="3316" customFormat="false" ht="15" hidden="false" customHeight="false" outlineLevel="0" collapsed="false"/>
    <row r="3317" customFormat="false" ht="15" hidden="false" customHeight="false" outlineLevel="0" collapsed="false"/>
    <row r="3318" customFormat="false" ht="15" hidden="false" customHeight="false" outlineLevel="0" collapsed="false"/>
    <row r="3319" customFormat="false" ht="15" hidden="false" customHeight="false" outlineLevel="0" collapsed="false"/>
    <row r="3320" customFormat="false" ht="15" hidden="false" customHeight="false" outlineLevel="0" collapsed="false"/>
    <row r="3321" customFormat="false" ht="15" hidden="false" customHeight="false" outlineLevel="0" collapsed="false"/>
    <row r="3322" customFormat="false" ht="15" hidden="false" customHeight="false" outlineLevel="0" collapsed="false"/>
    <row r="3323" customFormat="false" ht="15" hidden="false" customHeight="false" outlineLevel="0" collapsed="false"/>
    <row r="3324" customFormat="false" ht="15" hidden="false" customHeight="false" outlineLevel="0" collapsed="false"/>
    <row r="3325" customFormat="false" ht="15" hidden="false" customHeight="false" outlineLevel="0" collapsed="false"/>
    <row r="3326" customFormat="false" ht="15" hidden="false" customHeight="false" outlineLevel="0" collapsed="false"/>
    <row r="3327" customFormat="false" ht="15" hidden="false" customHeight="false" outlineLevel="0" collapsed="false"/>
    <row r="3328" customFormat="false" ht="15" hidden="false" customHeight="false" outlineLevel="0" collapsed="false"/>
    <row r="3329" customFormat="false" ht="15" hidden="false" customHeight="false" outlineLevel="0" collapsed="false"/>
    <row r="3330" customFormat="false" ht="15" hidden="false" customHeight="false" outlineLevel="0" collapsed="false"/>
    <row r="3331" customFormat="false" ht="15" hidden="false" customHeight="false" outlineLevel="0" collapsed="false"/>
    <row r="3332" customFormat="false" ht="15" hidden="false" customHeight="false" outlineLevel="0" collapsed="false"/>
    <row r="3333" customFormat="false" ht="15" hidden="false" customHeight="false" outlineLevel="0" collapsed="false"/>
    <row r="3334" customFormat="false" ht="15" hidden="false" customHeight="false" outlineLevel="0" collapsed="false"/>
    <row r="3335" customFormat="false" ht="15" hidden="false" customHeight="false" outlineLevel="0" collapsed="false"/>
    <row r="3336" customFormat="false" ht="15" hidden="false" customHeight="false" outlineLevel="0" collapsed="false"/>
    <row r="3337" customFormat="false" ht="15" hidden="false" customHeight="false" outlineLevel="0" collapsed="false"/>
    <row r="3338" customFormat="false" ht="15" hidden="false" customHeight="false" outlineLevel="0" collapsed="false"/>
    <row r="3339" customFormat="false" ht="15" hidden="false" customHeight="false" outlineLevel="0" collapsed="false"/>
    <row r="3340" customFormat="false" ht="15" hidden="false" customHeight="false" outlineLevel="0" collapsed="false"/>
    <row r="3341" customFormat="false" ht="15" hidden="false" customHeight="false" outlineLevel="0" collapsed="false"/>
    <row r="3342" customFormat="false" ht="15" hidden="false" customHeight="false" outlineLevel="0" collapsed="false"/>
    <row r="3343" customFormat="false" ht="15" hidden="false" customHeight="false" outlineLevel="0" collapsed="false"/>
    <row r="3344" customFormat="false" ht="15" hidden="false" customHeight="false" outlineLevel="0" collapsed="false"/>
    <row r="3345" customFormat="false" ht="15" hidden="false" customHeight="false" outlineLevel="0" collapsed="false"/>
    <row r="3346" customFormat="false" ht="15" hidden="false" customHeight="false" outlineLevel="0" collapsed="false"/>
    <row r="3347" customFormat="false" ht="15" hidden="false" customHeight="false" outlineLevel="0" collapsed="false"/>
    <row r="3348" customFormat="false" ht="15" hidden="false" customHeight="false" outlineLevel="0" collapsed="false"/>
    <row r="3349" customFormat="false" ht="15" hidden="false" customHeight="false" outlineLevel="0" collapsed="false"/>
    <row r="3350" customFormat="false" ht="15" hidden="false" customHeight="false" outlineLevel="0" collapsed="false"/>
    <row r="3351" customFormat="false" ht="15" hidden="false" customHeight="false" outlineLevel="0" collapsed="false"/>
    <row r="3352" customFormat="false" ht="15" hidden="false" customHeight="false" outlineLevel="0" collapsed="false"/>
    <row r="3353" customFormat="false" ht="15" hidden="false" customHeight="false" outlineLevel="0" collapsed="false"/>
    <row r="3354" customFormat="false" ht="15" hidden="false" customHeight="false" outlineLevel="0" collapsed="false"/>
    <row r="3355" customFormat="false" ht="15" hidden="false" customHeight="false" outlineLevel="0" collapsed="false"/>
    <row r="3356" customFormat="false" ht="15" hidden="false" customHeight="false" outlineLevel="0" collapsed="false"/>
    <row r="3357" customFormat="false" ht="15" hidden="false" customHeight="false" outlineLevel="0" collapsed="false"/>
    <row r="3358" customFormat="false" ht="15" hidden="false" customHeight="false" outlineLevel="0" collapsed="false"/>
    <row r="3359" customFormat="false" ht="15" hidden="false" customHeight="false" outlineLevel="0" collapsed="false"/>
    <row r="3360" customFormat="false" ht="15" hidden="false" customHeight="false" outlineLevel="0" collapsed="false"/>
    <row r="3361" customFormat="false" ht="15" hidden="false" customHeight="false" outlineLevel="0" collapsed="false"/>
    <row r="3362" customFormat="false" ht="15" hidden="false" customHeight="false" outlineLevel="0" collapsed="false"/>
    <row r="3363" customFormat="false" ht="15" hidden="false" customHeight="false" outlineLevel="0" collapsed="false"/>
    <row r="3364" customFormat="false" ht="15" hidden="false" customHeight="false" outlineLevel="0" collapsed="false"/>
    <row r="3365" customFormat="false" ht="15" hidden="false" customHeight="false" outlineLevel="0" collapsed="false"/>
    <row r="3366" customFormat="false" ht="15" hidden="false" customHeight="false" outlineLevel="0" collapsed="false"/>
    <row r="3367" customFormat="false" ht="15" hidden="false" customHeight="false" outlineLevel="0" collapsed="false"/>
    <row r="3368" customFormat="false" ht="15" hidden="false" customHeight="false" outlineLevel="0" collapsed="false"/>
    <row r="3369" customFormat="false" ht="15" hidden="false" customHeight="false" outlineLevel="0" collapsed="false"/>
    <row r="3370" customFormat="false" ht="15" hidden="false" customHeight="false" outlineLevel="0" collapsed="false"/>
    <row r="3371" customFormat="false" ht="15" hidden="false" customHeight="false" outlineLevel="0" collapsed="false"/>
    <row r="3372" customFormat="false" ht="15" hidden="false" customHeight="false" outlineLevel="0" collapsed="false"/>
    <row r="3373" customFormat="false" ht="15" hidden="false" customHeight="false" outlineLevel="0" collapsed="false"/>
    <row r="3374" customFormat="false" ht="15" hidden="false" customHeight="false" outlineLevel="0" collapsed="false"/>
    <row r="3375" customFormat="false" ht="15" hidden="false" customHeight="false" outlineLevel="0" collapsed="false"/>
    <row r="3376" customFormat="false" ht="15" hidden="false" customHeight="false" outlineLevel="0" collapsed="false"/>
    <row r="3377" customFormat="false" ht="15" hidden="false" customHeight="false" outlineLevel="0" collapsed="false"/>
    <row r="3378" customFormat="false" ht="15" hidden="false" customHeight="false" outlineLevel="0" collapsed="false"/>
    <row r="3379" customFormat="false" ht="15" hidden="false" customHeight="false" outlineLevel="0" collapsed="false"/>
    <row r="3380" customFormat="false" ht="15" hidden="false" customHeight="false" outlineLevel="0" collapsed="false"/>
    <row r="3381" customFormat="false" ht="15" hidden="false" customHeight="false" outlineLevel="0" collapsed="false"/>
    <row r="3382" customFormat="false" ht="15" hidden="false" customHeight="false" outlineLevel="0" collapsed="false"/>
    <row r="3383" customFormat="false" ht="15" hidden="false" customHeight="false" outlineLevel="0" collapsed="false"/>
    <row r="3384" customFormat="false" ht="15" hidden="false" customHeight="false" outlineLevel="0" collapsed="false"/>
    <row r="3385" customFormat="false" ht="15" hidden="false" customHeight="false" outlineLevel="0" collapsed="false"/>
    <row r="3386" customFormat="false" ht="15" hidden="false" customHeight="false" outlineLevel="0" collapsed="false"/>
    <row r="3387" customFormat="false" ht="15" hidden="false" customHeight="false" outlineLevel="0" collapsed="false"/>
    <row r="3388" customFormat="false" ht="15" hidden="false" customHeight="false" outlineLevel="0" collapsed="false"/>
    <row r="3389" customFormat="false" ht="15" hidden="false" customHeight="false" outlineLevel="0" collapsed="false"/>
    <row r="3390" customFormat="false" ht="15" hidden="false" customHeight="false" outlineLevel="0" collapsed="false"/>
    <row r="3391" customFormat="false" ht="15" hidden="false" customHeight="false" outlineLevel="0" collapsed="false"/>
    <row r="3392" customFormat="false" ht="15" hidden="false" customHeight="false" outlineLevel="0" collapsed="false"/>
    <row r="3393" customFormat="false" ht="15" hidden="false" customHeight="false" outlineLevel="0" collapsed="false"/>
    <row r="3394" customFormat="false" ht="15" hidden="false" customHeight="false" outlineLevel="0" collapsed="false"/>
    <row r="3395" customFormat="false" ht="15" hidden="false" customHeight="false" outlineLevel="0" collapsed="false"/>
    <row r="3396" customFormat="false" ht="15" hidden="false" customHeight="false" outlineLevel="0" collapsed="false"/>
    <row r="3397" customFormat="false" ht="15" hidden="false" customHeight="false" outlineLevel="0" collapsed="false"/>
    <row r="3398" customFormat="false" ht="15" hidden="false" customHeight="false" outlineLevel="0" collapsed="false"/>
    <row r="3399" customFormat="false" ht="15" hidden="false" customHeight="false" outlineLevel="0" collapsed="false"/>
    <row r="3400" customFormat="false" ht="15" hidden="false" customHeight="false" outlineLevel="0" collapsed="false"/>
    <row r="3401" customFormat="false" ht="15" hidden="false" customHeight="false" outlineLevel="0" collapsed="false"/>
    <row r="3402" customFormat="false" ht="15" hidden="false" customHeight="false" outlineLevel="0" collapsed="false"/>
    <row r="3403" customFormat="false" ht="15" hidden="false" customHeight="false" outlineLevel="0" collapsed="false"/>
    <row r="3404" customFormat="false" ht="15" hidden="false" customHeight="false" outlineLevel="0" collapsed="false"/>
    <row r="3405" customFormat="false" ht="15" hidden="false" customHeight="false" outlineLevel="0" collapsed="false"/>
    <row r="3406" customFormat="false" ht="15" hidden="false" customHeight="false" outlineLevel="0" collapsed="false"/>
    <row r="3407" customFormat="false" ht="15" hidden="false" customHeight="false" outlineLevel="0" collapsed="false"/>
    <row r="3408" customFormat="false" ht="15" hidden="false" customHeight="false" outlineLevel="0" collapsed="false"/>
    <row r="3409" customFormat="false" ht="15" hidden="false" customHeight="false" outlineLevel="0" collapsed="false"/>
    <row r="3410" customFormat="false" ht="15" hidden="false" customHeight="false" outlineLevel="0" collapsed="false"/>
    <row r="3411" customFormat="false" ht="15" hidden="false" customHeight="false" outlineLevel="0" collapsed="false"/>
    <row r="3412" customFormat="false" ht="15" hidden="false" customHeight="false" outlineLevel="0" collapsed="false"/>
    <row r="3413" customFormat="false" ht="15" hidden="false" customHeight="false" outlineLevel="0" collapsed="false"/>
    <row r="3414" customFormat="false" ht="15" hidden="false" customHeight="false" outlineLevel="0" collapsed="false"/>
    <row r="3415" customFormat="false" ht="15" hidden="false" customHeight="false" outlineLevel="0" collapsed="false"/>
    <row r="3416" customFormat="false" ht="15" hidden="false" customHeight="false" outlineLevel="0" collapsed="false"/>
    <row r="3417" customFormat="false" ht="15" hidden="false" customHeight="false" outlineLevel="0" collapsed="false"/>
    <row r="3418" customFormat="false" ht="15" hidden="false" customHeight="false" outlineLevel="0" collapsed="false"/>
    <row r="3419" customFormat="false" ht="15" hidden="false" customHeight="false" outlineLevel="0" collapsed="false"/>
    <row r="3420" customFormat="false" ht="15" hidden="false" customHeight="false" outlineLevel="0" collapsed="false"/>
    <row r="3421" customFormat="false" ht="15" hidden="false" customHeight="false" outlineLevel="0" collapsed="false"/>
    <row r="3422" customFormat="false" ht="15" hidden="false" customHeight="false" outlineLevel="0" collapsed="false"/>
    <row r="3423" customFormat="false" ht="15" hidden="false" customHeight="false" outlineLevel="0" collapsed="false"/>
    <row r="3424" customFormat="false" ht="15" hidden="false" customHeight="false" outlineLevel="0" collapsed="false"/>
    <row r="3425" customFormat="false" ht="15" hidden="false" customHeight="false" outlineLevel="0" collapsed="false"/>
    <row r="3426" customFormat="false" ht="15" hidden="false" customHeight="false" outlineLevel="0" collapsed="false"/>
    <row r="3427" customFormat="false" ht="15" hidden="false" customHeight="false" outlineLevel="0" collapsed="false"/>
    <row r="3428" customFormat="false" ht="15" hidden="false" customHeight="false" outlineLevel="0" collapsed="false"/>
    <row r="3429" customFormat="false" ht="15" hidden="false" customHeight="false" outlineLevel="0" collapsed="false"/>
    <row r="3430" customFormat="false" ht="15" hidden="false" customHeight="false" outlineLevel="0" collapsed="false"/>
    <row r="3431" customFormat="false" ht="15" hidden="false" customHeight="false" outlineLevel="0" collapsed="false"/>
    <row r="3432" customFormat="false" ht="15" hidden="false" customHeight="false" outlineLevel="0" collapsed="false"/>
    <row r="3433" customFormat="false" ht="15" hidden="false" customHeight="false" outlineLevel="0" collapsed="false"/>
    <row r="3434" customFormat="false" ht="15" hidden="false" customHeight="false" outlineLevel="0" collapsed="false"/>
    <row r="3435" customFormat="false" ht="15" hidden="false" customHeight="false" outlineLevel="0" collapsed="false"/>
    <row r="3436" customFormat="false" ht="15" hidden="false" customHeight="false" outlineLevel="0" collapsed="false"/>
    <row r="3437" customFormat="false" ht="15" hidden="false" customHeight="false" outlineLevel="0" collapsed="false"/>
    <row r="3438" customFormat="false" ht="15" hidden="false" customHeight="false" outlineLevel="0" collapsed="false"/>
    <row r="3439" customFormat="false" ht="15" hidden="false" customHeight="false" outlineLevel="0" collapsed="false"/>
    <row r="3440" customFormat="false" ht="15" hidden="false" customHeight="false" outlineLevel="0" collapsed="false"/>
    <row r="3441" customFormat="false" ht="15" hidden="false" customHeight="false" outlineLevel="0" collapsed="false"/>
    <row r="3442" customFormat="false" ht="15" hidden="false" customHeight="false" outlineLevel="0" collapsed="false"/>
    <row r="3443" customFormat="false" ht="15" hidden="false" customHeight="false" outlineLevel="0" collapsed="false"/>
    <row r="3444" customFormat="false" ht="15" hidden="false" customHeight="false" outlineLevel="0" collapsed="false"/>
    <row r="3445" customFormat="false" ht="15" hidden="false" customHeight="false" outlineLevel="0" collapsed="false"/>
    <row r="3446" customFormat="false" ht="15" hidden="false" customHeight="false" outlineLevel="0" collapsed="false"/>
    <row r="3447" customFormat="false" ht="15" hidden="false" customHeight="false" outlineLevel="0" collapsed="false"/>
    <row r="3448" customFormat="false" ht="15" hidden="false" customHeight="false" outlineLevel="0" collapsed="false"/>
    <row r="3449" customFormat="false" ht="15" hidden="false" customHeight="false" outlineLevel="0" collapsed="false"/>
    <row r="3450" customFormat="false" ht="15" hidden="false" customHeight="false" outlineLevel="0" collapsed="false"/>
    <row r="3451" customFormat="false" ht="15" hidden="false" customHeight="false" outlineLevel="0" collapsed="false"/>
    <row r="3452" customFormat="false" ht="15" hidden="false" customHeight="false" outlineLevel="0" collapsed="false"/>
    <row r="3453" customFormat="false" ht="15" hidden="false" customHeight="false" outlineLevel="0" collapsed="false"/>
    <row r="3454" customFormat="false" ht="15" hidden="false" customHeight="false" outlineLevel="0" collapsed="false"/>
    <row r="3455" customFormat="false" ht="15" hidden="false" customHeight="false" outlineLevel="0" collapsed="false"/>
    <row r="3456" customFormat="false" ht="15" hidden="false" customHeight="false" outlineLevel="0" collapsed="false"/>
    <row r="3457" customFormat="false" ht="15" hidden="false" customHeight="false" outlineLevel="0" collapsed="false"/>
    <row r="3458" customFormat="false" ht="15" hidden="false" customHeight="false" outlineLevel="0" collapsed="false"/>
    <row r="3459" customFormat="false" ht="15" hidden="false" customHeight="false" outlineLevel="0" collapsed="false"/>
    <row r="3460" customFormat="false" ht="15" hidden="false" customHeight="false" outlineLevel="0" collapsed="false"/>
    <row r="3461" customFormat="false" ht="15" hidden="false" customHeight="false" outlineLevel="0" collapsed="false"/>
    <row r="3462" customFormat="false" ht="15" hidden="false" customHeight="false" outlineLevel="0" collapsed="false"/>
    <row r="3463" customFormat="false" ht="15" hidden="false" customHeight="false" outlineLevel="0" collapsed="false"/>
    <row r="3464" customFormat="false" ht="15" hidden="false" customHeight="false" outlineLevel="0" collapsed="false"/>
    <row r="3465" customFormat="false" ht="15" hidden="false" customHeight="false" outlineLevel="0" collapsed="false"/>
    <row r="3466" customFormat="false" ht="15" hidden="false" customHeight="false" outlineLevel="0" collapsed="false"/>
    <row r="3467" customFormat="false" ht="15" hidden="false" customHeight="false" outlineLevel="0" collapsed="false"/>
    <row r="3468" customFormat="false" ht="15" hidden="false" customHeight="false" outlineLevel="0" collapsed="false"/>
    <row r="3469" customFormat="false" ht="15" hidden="false" customHeight="false" outlineLevel="0" collapsed="false"/>
    <row r="3470" customFormat="false" ht="15" hidden="false" customHeight="false" outlineLevel="0" collapsed="false"/>
    <row r="3471" customFormat="false" ht="15" hidden="false" customHeight="false" outlineLevel="0" collapsed="false"/>
    <row r="3472" customFormat="false" ht="15" hidden="false" customHeight="false" outlineLevel="0" collapsed="false"/>
    <row r="3473" customFormat="false" ht="15" hidden="false" customHeight="false" outlineLevel="0" collapsed="false"/>
    <row r="3474" customFormat="false" ht="15" hidden="false" customHeight="false" outlineLevel="0" collapsed="false"/>
    <row r="3475" customFormat="false" ht="15" hidden="false" customHeight="false" outlineLevel="0" collapsed="false"/>
    <row r="3476" customFormat="false" ht="15" hidden="false" customHeight="false" outlineLevel="0" collapsed="false"/>
    <row r="3477" customFormat="false" ht="15" hidden="false" customHeight="false" outlineLevel="0" collapsed="false"/>
    <row r="3478" customFormat="false" ht="15" hidden="false" customHeight="false" outlineLevel="0" collapsed="false"/>
    <row r="3479" customFormat="false" ht="15" hidden="false" customHeight="false" outlineLevel="0" collapsed="false"/>
    <row r="3480" customFormat="false" ht="15" hidden="false" customHeight="false" outlineLevel="0" collapsed="false"/>
    <row r="3481" customFormat="false" ht="15" hidden="false" customHeight="false" outlineLevel="0" collapsed="false"/>
    <row r="3482" customFormat="false" ht="15" hidden="false" customHeight="false" outlineLevel="0" collapsed="false"/>
    <row r="3483" customFormat="false" ht="15" hidden="false" customHeight="false" outlineLevel="0" collapsed="false"/>
    <row r="3484" customFormat="false" ht="15" hidden="false" customHeight="false" outlineLevel="0" collapsed="false"/>
    <row r="3485" customFormat="false" ht="15" hidden="false" customHeight="false" outlineLevel="0" collapsed="false"/>
    <row r="3486" customFormat="false" ht="15" hidden="false" customHeight="false" outlineLevel="0" collapsed="false"/>
    <row r="3487" customFormat="false" ht="15" hidden="false" customHeight="false" outlineLevel="0" collapsed="false"/>
    <row r="3488" customFormat="false" ht="15" hidden="false" customHeight="false" outlineLevel="0" collapsed="false"/>
    <row r="3489" customFormat="false" ht="15" hidden="false" customHeight="false" outlineLevel="0" collapsed="false"/>
    <row r="3490" customFormat="false" ht="15" hidden="false" customHeight="false" outlineLevel="0" collapsed="false"/>
    <row r="3491" customFormat="false" ht="15" hidden="false" customHeight="false" outlineLevel="0" collapsed="false"/>
    <row r="3492" customFormat="false" ht="15" hidden="false" customHeight="false" outlineLevel="0" collapsed="false"/>
    <row r="3493" customFormat="false" ht="15" hidden="false" customHeight="false" outlineLevel="0" collapsed="false"/>
    <row r="3494" customFormat="false" ht="15" hidden="false" customHeight="false" outlineLevel="0" collapsed="false"/>
    <row r="3495" customFormat="false" ht="15" hidden="false" customHeight="false" outlineLevel="0" collapsed="false"/>
    <row r="3496" customFormat="false" ht="15" hidden="false" customHeight="false" outlineLevel="0" collapsed="false"/>
    <row r="3497" customFormat="false" ht="15" hidden="false" customHeight="false" outlineLevel="0" collapsed="false"/>
    <row r="3498" customFormat="false" ht="15" hidden="false" customHeight="false" outlineLevel="0" collapsed="false"/>
    <row r="3499" customFormat="false" ht="15" hidden="false" customHeight="false" outlineLevel="0" collapsed="false"/>
    <row r="3500" customFormat="false" ht="15" hidden="false" customHeight="false" outlineLevel="0" collapsed="false"/>
    <row r="3501" customFormat="false" ht="15" hidden="false" customHeight="false" outlineLevel="0" collapsed="false"/>
    <row r="3502" customFormat="false" ht="15" hidden="false" customHeight="false" outlineLevel="0" collapsed="false"/>
    <row r="3503" customFormat="false" ht="15" hidden="false" customHeight="false" outlineLevel="0" collapsed="false"/>
    <row r="3504" customFormat="false" ht="15" hidden="false" customHeight="false" outlineLevel="0" collapsed="false"/>
    <row r="3505" customFormat="false" ht="15" hidden="false" customHeight="false" outlineLevel="0" collapsed="false"/>
    <row r="3506" customFormat="false" ht="15" hidden="false" customHeight="false" outlineLevel="0" collapsed="false"/>
    <row r="3507" customFormat="false" ht="15" hidden="false" customHeight="false" outlineLevel="0" collapsed="false"/>
    <row r="3508" customFormat="false" ht="15" hidden="false" customHeight="false" outlineLevel="0" collapsed="false"/>
    <row r="3509" customFormat="false" ht="15" hidden="false" customHeight="false" outlineLevel="0" collapsed="false"/>
    <row r="3510" customFormat="false" ht="15" hidden="false" customHeight="false" outlineLevel="0" collapsed="false"/>
    <row r="3511" customFormat="false" ht="15" hidden="false" customHeight="false" outlineLevel="0" collapsed="false"/>
    <row r="3512" customFormat="false" ht="15" hidden="false" customHeight="false" outlineLevel="0" collapsed="false"/>
    <row r="3513" customFormat="false" ht="15" hidden="false" customHeight="false" outlineLevel="0" collapsed="false"/>
    <row r="3514" customFormat="false" ht="15" hidden="false" customHeight="false" outlineLevel="0" collapsed="false"/>
    <row r="3515" customFormat="false" ht="15" hidden="false" customHeight="false" outlineLevel="0" collapsed="false"/>
    <row r="3516" customFormat="false" ht="15" hidden="false" customHeight="false" outlineLevel="0" collapsed="false"/>
    <row r="3517" customFormat="false" ht="15" hidden="false" customHeight="false" outlineLevel="0" collapsed="false"/>
    <row r="3518" customFormat="false" ht="15" hidden="false" customHeight="false" outlineLevel="0" collapsed="false"/>
    <row r="3519" customFormat="false" ht="15" hidden="false" customHeight="false" outlineLevel="0" collapsed="false"/>
    <row r="3520" customFormat="false" ht="15" hidden="false" customHeight="false" outlineLevel="0" collapsed="false"/>
    <row r="3521" customFormat="false" ht="15" hidden="false" customHeight="false" outlineLevel="0" collapsed="false"/>
    <row r="3522" customFormat="false" ht="15" hidden="false" customHeight="false" outlineLevel="0" collapsed="false"/>
    <row r="3523" customFormat="false" ht="15" hidden="false" customHeight="false" outlineLevel="0" collapsed="false"/>
    <row r="3524" customFormat="false" ht="15" hidden="false" customHeight="false" outlineLevel="0" collapsed="false"/>
    <row r="3525" customFormat="false" ht="15" hidden="false" customHeight="false" outlineLevel="0" collapsed="false"/>
    <row r="3526" customFormat="false" ht="15" hidden="false" customHeight="false" outlineLevel="0" collapsed="false"/>
    <row r="3527" customFormat="false" ht="15" hidden="false" customHeight="false" outlineLevel="0" collapsed="false"/>
    <row r="3528" customFormat="false" ht="15" hidden="false" customHeight="false" outlineLevel="0" collapsed="false"/>
    <row r="3529" customFormat="false" ht="15" hidden="false" customHeight="false" outlineLevel="0" collapsed="false"/>
    <row r="3530" customFormat="false" ht="15" hidden="false" customHeight="false" outlineLevel="0" collapsed="false"/>
    <row r="3531" customFormat="false" ht="15" hidden="false" customHeight="false" outlineLevel="0" collapsed="false"/>
    <row r="3532" customFormat="false" ht="15" hidden="false" customHeight="false" outlineLevel="0" collapsed="false"/>
    <row r="3533" customFormat="false" ht="15" hidden="false" customHeight="false" outlineLevel="0" collapsed="false"/>
    <row r="3534" customFormat="false" ht="15" hidden="false" customHeight="false" outlineLevel="0" collapsed="false"/>
    <row r="3535" customFormat="false" ht="15" hidden="false" customHeight="false" outlineLevel="0" collapsed="false"/>
    <row r="3536" customFormat="false" ht="15" hidden="false" customHeight="false" outlineLevel="0" collapsed="false"/>
    <row r="3537" customFormat="false" ht="15" hidden="false" customHeight="false" outlineLevel="0" collapsed="false"/>
    <row r="3538" customFormat="false" ht="15" hidden="false" customHeight="false" outlineLevel="0" collapsed="false"/>
    <row r="3539" customFormat="false" ht="15" hidden="false" customHeight="false" outlineLevel="0" collapsed="false"/>
    <row r="3540" customFormat="false" ht="15" hidden="false" customHeight="false" outlineLevel="0" collapsed="false"/>
    <row r="3541" customFormat="false" ht="15" hidden="false" customHeight="false" outlineLevel="0" collapsed="false"/>
    <row r="3542" customFormat="false" ht="15" hidden="false" customHeight="false" outlineLevel="0" collapsed="false"/>
    <row r="3543" customFormat="false" ht="15" hidden="false" customHeight="false" outlineLevel="0" collapsed="false"/>
    <row r="3544" customFormat="false" ht="15" hidden="false" customHeight="false" outlineLevel="0" collapsed="false"/>
    <row r="3545" customFormat="false" ht="15" hidden="false" customHeight="false" outlineLevel="0" collapsed="false"/>
    <row r="3546" customFormat="false" ht="15" hidden="false" customHeight="false" outlineLevel="0" collapsed="false"/>
    <row r="3547" customFormat="false" ht="15" hidden="false" customHeight="false" outlineLevel="0" collapsed="false"/>
    <row r="3548" customFormat="false" ht="15" hidden="false" customHeight="false" outlineLevel="0" collapsed="false"/>
    <row r="3549" customFormat="false" ht="15" hidden="false" customHeight="false" outlineLevel="0" collapsed="false"/>
    <row r="3550" customFormat="false" ht="15" hidden="false" customHeight="false" outlineLevel="0" collapsed="false"/>
    <row r="3551" customFormat="false" ht="15" hidden="false" customHeight="false" outlineLevel="0" collapsed="false"/>
    <row r="3552" customFormat="false" ht="15" hidden="false" customHeight="false" outlineLevel="0" collapsed="false"/>
    <row r="3553" customFormat="false" ht="15" hidden="false" customHeight="false" outlineLevel="0" collapsed="false"/>
    <row r="3554" customFormat="false" ht="15" hidden="false" customHeight="false" outlineLevel="0" collapsed="false"/>
    <row r="3555" customFormat="false" ht="15" hidden="false" customHeight="false" outlineLevel="0" collapsed="false"/>
    <row r="3556" customFormat="false" ht="15" hidden="false" customHeight="false" outlineLevel="0" collapsed="false"/>
    <row r="3557" customFormat="false" ht="15" hidden="false" customHeight="false" outlineLevel="0" collapsed="false"/>
    <row r="3558" customFormat="false" ht="15" hidden="false" customHeight="false" outlineLevel="0" collapsed="false"/>
    <row r="3559" customFormat="false" ht="15" hidden="false" customHeight="false" outlineLevel="0" collapsed="false"/>
    <row r="3560" customFormat="false" ht="15" hidden="false" customHeight="false" outlineLevel="0" collapsed="false"/>
    <row r="3561" customFormat="false" ht="15" hidden="false" customHeight="false" outlineLevel="0" collapsed="false"/>
    <row r="3562" customFormat="false" ht="15" hidden="false" customHeight="false" outlineLevel="0" collapsed="false"/>
    <row r="3563" customFormat="false" ht="15" hidden="false" customHeight="false" outlineLevel="0" collapsed="false"/>
    <row r="3564" customFormat="false" ht="15" hidden="false" customHeight="false" outlineLevel="0" collapsed="false"/>
    <row r="3565" customFormat="false" ht="15" hidden="false" customHeight="false" outlineLevel="0" collapsed="false"/>
    <row r="3566" customFormat="false" ht="15" hidden="false" customHeight="false" outlineLevel="0" collapsed="false"/>
    <row r="3567" customFormat="false" ht="15" hidden="false" customHeight="false" outlineLevel="0" collapsed="false"/>
    <row r="3568" customFormat="false" ht="15" hidden="false" customHeight="false" outlineLevel="0" collapsed="false"/>
    <row r="3569" customFormat="false" ht="15" hidden="false" customHeight="false" outlineLevel="0" collapsed="false"/>
    <row r="3570" customFormat="false" ht="15" hidden="false" customHeight="false" outlineLevel="0" collapsed="false"/>
    <row r="3571" customFormat="false" ht="15" hidden="false" customHeight="false" outlineLevel="0" collapsed="false"/>
    <row r="3572" customFormat="false" ht="15" hidden="false" customHeight="false" outlineLevel="0" collapsed="false"/>
    <row r="3573" customFormat="false" ht="15" hidden="false" customHeight="false" outlineLevel="0" collapsed="false"/>
    <row r="3574" customFormat="false" ht="15" hidden="false" customHeight="false" outlineLevel="0" collapsed="false"/>
    <row r="3575" customFormat="false" ht="15" hidden="false" customHeight="false" outlineLevel="0" collapsed="false"/>
    <row r="3576" customFormat="false" ht="15" hidden="false" customHeight="false" outlineLevel="0" collapsed="false"/>
    <row r="3577" customFormat="false" ht="15" hidden="false" customHeight="false" outlineLevel="0" collapsed="false"/>
    <row r="3578" customFormat="false" ht="15" hidden="false" customHeight="false" outlineLevel="0" collapsed="false"/>
    <row r="3579" customFormat="false" ht="15" hidden="false" customHeight="false" outlineLevel="0" collapsed="false"/>
    <row r="3580" customFormat="false" ht="15" hidden="false" customHeight="false" outlineLevel="0" collapsed="false"/>
    <row r="3581" customFormat="false" ht="15" hidden="false" customHeight="false" outlineLevel="0" collapsed="false"/>
    <row r="3582" customFormat="false" ht="15" hidden="false" customHeight="false" outlineLevel="0" collapsed="false"/>
    <row r="3583" customFormat="false" ht="15" hidden="false" customHeight="false" outlineLevel="0" collapsed="false"/>
    <row r="3584" customFormat="false" ht="15" hidden="false" customHeight="false" outlineLevel="0" collapsed="false"/>
    <row r="3585" customFormat="false" ht="15" hidden="false" customHeight="false" outlineLevel="0" collapsed="false"/>
    <row r="3586" customFormat="false" ht="15" hidden="false" customHeight="false" outlineLevel="0" collapsed="false"/>
    <row r="3587" customFormat="false" ht="15" hidden="false" customHeight="false" outlineLevel="0" collapsed="false"/>
    <row r="3588" customFormat="false" ht="15" hidden="false" customHeight="false" outlineLevel="0" collapsed="false"/>
    <row r="3589" customFormat="false" ht="15" hidden="false" customHeight="false" outlineLevel="0" collapsed="false"/>
    <row r="3590" customFormat="false" ht="15" hidden="false" customHeight="false" outlineLevel="0" collapsed="false"/>
    <row r="3591" customFormat="false" ht="15" hidden="false" customHeight="false" outlineLevel="0" collapsed="false"/>
    <row r="3592" customFormat="false" ht="15" hidden="false" customHeight="false" outlineLevel="0" collapsed="false"/>
    <row r="3593" customFormat="false" ht="15" hidden="false" customHeight="false" outlineLevel="0" collapsed="false"/>
    <row r="3594" customFormat="false" ht="15" hidden="false" customHeight="false" outlineLevel="0" collapsed="false"/>
    <row r="3595" customFormat="false" ht="15" hidden="false" customHeight="false" outlineLevel="0" collapsed="false"/>
    <row r="3596" customFormat="false" ht="15" hidden="false" customHeight="false" outlineLevel="0" collapsed="false"/>
    <row r="3597" customFormat="false" ht="15" hidden="false" customHeight="false" outlineLevel="0" collapsed="false"/>
    <row r="3598" customFormat="false" ht="15" hidden="false" customHeight="false" outlineLevel="0" collapsed="false"/>
    <row r="3599" customFormat="false" ht="15" hidden="false" customHeight="false" outlineLevel="0" collapsed="false"/>
    <row r="3600" customFormat="false" ht="15" hidden="false" customHeight="false" outlineLevel="0" collapsed="false"/>
    <row r="3601" customFormat="false" ht="15" hidden="false" customHeight="false" outlineLevel="0" collapsed="false"/>
    <row r="3602" customFormat="false" ht="15" hidden="false" customHeight="false" outlineLevel="0" collapsed="false"/>
    <row r="3603" customFormat="false" ht="15" hidden="false" customHeight="false" outlineLevel="0" collapsed="false"/>
    <row r="3604" customFormat="false" ht="15" hidden="false" customHeight="false" outlineLevel="0" collapsed="false"/>
    <row r="3605" customFormat="false" ht="15" hidden="false" customHeight="false" outlineLevel="0" collapsed="false"/>
    <row r="3606" customFormat="false" ht="15" hidden="false" customHeight="false" outlineLevel="0" collapsed="false"/>
    <row r="3607" customFormat="false" ht="15" hidden="false" customHeight="false" outlineLevel="0" collapsed="false"/>
    <row r="3608" customFormat="false" ht="15" hidden="false" customHeight="false" outlineLevel="0" collapsed="false"/>
    <row r="3609" customFormat="false" ht="15" hidden="false" customHeight="false" outlineLevel="0" collapsed="false"/>
    <row r="3610" customFormat="false" ht="15" hidden="false" customHeight="false" outlineLevel="0" collapsed="false"/>
    <row r="3611" customFormat="false" ht="15" hidden="false" customHeight="false" outlineLevel="0" collapsed="false"/>
    <row r="3612" customFormat="false" ht="15" hidden="false" customHeight="false" outlineLevel="0" collapsed="false"/>
    <row r="3613" customFormat="false" ht="15" hidden="false" customHeight="false" outlineLevel="0" collapsed="false"/>
    <row r="3614" customFormat="false" ht="15" hidden="false" customHeight="false" outlineLevel="0" collapsed="false"/>
    <row r="3615" customFormat="false" ht="15" hidden="false" customHeight="false" outlineLevel="0" collapsed="false"/>
    <row r="3616" customFormat="false" ht="15" hidden="false" customHeight="false" outlineLevel="0" collapsed="false"/>
    <row r="3617" customFormat="false" ht="15" hidden="false" customHeight="false" outlineLevel="0" collapsed="false"/>
    <row r="3618" customFormat="false" ht="15" hidden="false" customHeight="false" outlineLevel="0" collapsed="false"/>
    <row r="3619" customFormat="false" ht="15" hidden="false" customHeight="false" outlineLevel="0" collapsed="false"/>
    <row r="3620" customFormat="false" ht="15" hidden="false" customHeight="false" outlineLevel="0" collapsed="false"/>
    <row r="3621" customFormat="false" ht="15" hidden="false" customHeight="false" outlineLevel="0" collapsed="false"/>
    <row r="3622" customFormat="false" ht="15" hidden="false" customHeight="false" outlineLevel="0" collapsed="false"/>
    <row r="3623" customFormat="false" ht="15" hidden="false" customHeight="false" outlineLevel="0" collapsed="false"/>
    <row r="3624" customFormat="false" ht="15" hidden="false" customHeight="false" outlineLevel="0" collapsed="false"/>
    <row r="3625" customFormat="false" ht="15" hidden="false" customHeight="false" outlineLevel="0" collapsed="false"/>
    <row r="3626" customFormat="false" ht="15" hidden="false" customHeight="false" outlineLevel="0" collapsed="false"/>
    <row r="3627" customFormat="false" ht="15" hidden="false" customHeight="false" outlineLevel="0" collapsed="false"/>
    <row r="3628" customFormat="false" ht="15" hidden="false" customHeight="false" outlineLevel="0" collapsed="false"/>
    <row r="3629" customFormat="false" ht="15" hidden="false" customHeight="false" outlineLevel="0" collapsed="false"/>
    <row r="3630" customFormat="false" ht="15" hidden="false" customHeight="false" outlineLevel="0" collapsed="false"/>
    <row r="3631" customFormat="false" ht="15" hidden="false" customHeight="false" outlineLevel="0" collapsed="false"/>
    <row r="3632" customFormat="false" ht="15" hidden="false" customHeight="false" outlineLevel="0" collapsed="false"/>
    <row r="3633" customFormat="false" ht="15" hidden="false" customHeight="false" outlineLevel="0" collapsed="false"/>
    <row r="3634" customFormat="false" ht="15" hidden="false" customHeight="false" outlineLevel="0" collapsed="false"/>
    <row r="3635" customFormat="false" ht="15" hidden="false" customHeight="false" outlineLevel="0" collapsed="false"/>
    <row r="3636" customFormat="false" ht="15" hidden="false" customHeight="false" outlineLevel="0" collapsed="false"/>
    <row r="3637" customFormat="false" ht="15" hidden="false" customHeight="false" outlineLevel="0" collapsed="false"/>
    <row r="3638" customFormat="false" ht="15" hidden="false" customHeight="false" outlineLevel="0" collapsed="false"/>
    <row r="3639" customFormat="false" ht="15" hidden="false" customHeight="false" outlineLevel="0" collapsed="false"/>
    <row r="3640" customFormat="false" ht="15" hidden="false" customHeight="false" outlineLevel="0" collapsed="false"/>
    <row r="3641" customFormat="false" ht="15" hidden="false" customHeight="false" outlineLevel="0" collapsed="false"/>
    <row r="3642" customFormat="false" ht="15" hidden="false" customHeight="false" outlineLevel="0" collapsed="false"/>
    <row r="3643" customFormat="false" ht="15" hidden="false" customHeight="false" outlineLevel="0" collapsed="false"/>
    <row r="3644" customFormat="false" ht="15" hidden="false" customHeight="false" outlineLevel="0" collapsed="false"/>
    <row r="3645" customFormat="false" ht="15" hidden="false" customHeight="false" outlineLevel="0" collapsed="false"/>
    <row r="3646" customFormat="false" ht="15" hidden="false" customHeight="false" outlineLevel="0" collapsed="false"/>
    <row r="3647" customFormat="false" ht="15" hidden="false" customHeight="false" outlineLevel="0" collapsed="false"/>
    <row r="3648" customFormat="false" ht="15" hidden="false" customHeight="false" outlineLevel="0" collapsed="false"/>
    <row r="3649" customFormat="false" ht="15" hidden="false" customHeight="false" outlineLevel="0" collapsed="false"/>
    <row r="3650" customFormat="false" ht="15" hidden="false" customHeight="false" outlineLevel="0" collapsed="false"/>
    <row r="3651" customFormat="false" ht="15" hidden="false" customHeight="false" outlineLevel="0" collapsed="false"/>
    <row r="3652" customFormat="false" ht="15" hidden="false" customHeight="false" outlineLevel="0" collapsed="false"/>
    <row r="3653" customFormat="false" ht="15" hidden="false" customHeight="false" outlineLevel="0" collapsed="false"/>
    <row r="3654" customFormat="false" ht="15" hidden="false" customHeight="false" outlineLevel="0" collapsed="false"/>
    <row r="3655" customFormat="false" ht="15" hidden="false" customHeight="false" outlineLevel="0" collapsed="false"/>
    <row r="3656" customFormat="false" ht="15" hidden="false" customHeight="false" outlineLevel="0" collapsed="false"/>
    <row r="3657" customFormat="false" ht="15" hidden="false" customHeight="false" outlineLevel="0" collapsed="false"/>
    <row r="3658" customFormat="false" ht="15" hidden="false" customHeight="false" outlineLevel="0" collapsed="false"/>
    <row r="3659" customFormat="false" ht="15" hidden="false" customHeight="false" outlineLevel="0" collapsed="false"/>
    <row r="3660" customFormat="false" ht="15" hidden="false" customHeight="false" outlineLevel="0" collapsed="false"/>
    <row r="3661" customFormat="false" ht="15" hidden="false" customHeight="false" outlineLevel="0" collapsed="false"/>
    <row r="3662" customFormat="false" ht="15" hidden="false" customHeight="false" outlineLevel="0" collapsed="false"/>
    <row r="3663" customFormat="false" ht="15" hidden="false" customHeight="false" outlineLevel="0" collapsed="false"/>
    <row r="3664" customFormat="false" ht="15" hidden="false" customHeight="false" outlineLevel="0" collapsed="false"/>
    <row r="3665" customFormat="false" ht="15" hidden="false" customHeight="false" outlineLevel="0" collapsed="false"/>
    <row r="3666" customFormat="false" ht="15" hidden="false" customHeight="false" outlineLevel="0" collapsed="false"/>
    <row r="3667" customFormat="false" ht="15" hidden="false" customHeight="false" outlineLevel="0" collapsed="false"/>
    <row r="3668" customFormat="false" ht="15" hidden="false" customHeight="false" outlineLevel="0" collapsed="false"/>
    <row r="3669" customFormat="false" ht="15" hidden="false" customHeight="false" outlineLevel="0" collapsed="false"/>
    <row r="3670" customFormat="false" ht="15" hidden="false" customHeight="false" outlineLevel="0" collapsed="false"/>
    <row r="3671" customFormat="false" ht="15" hidden="false" customHeight="false" outlineLevel="0" collapsed="false"/>
    <row r="3672" customFormat="false" ht="15" hidden="false" customHeight="false" outlineLevel="0" collapsed="false"/>
    <row r="3673" customFormat="false" ht="15" hidden="false" customHeight="false" outlineLevel="0" collapsed="false"/>
    <row r="3674" customFormat="false" ht="15" hidden="false" customHeight="false" outlineLevel="0" collapsed="false"/>
    <row r="3675" customFormat="false" ht="15" hidden="false" customHeight="false" outlineLevel="0" collapsed="false"/>
    <row r="3676" customFormat="false" ht="15" hidden="false" customHeight="false" outlineLevel="0" collapsed="false"/>
    <row r="3677" customFormat="false" ht="15" hidden="false" customHeight="false" outlineLevel="0" collapsed="false"/>
    <row r="3678" customFormat="false" ht="15" hidden="false" customHeight="false" outlineLevel="0" collapsed="false"/>
    <row r="3679" customFormat="false" ht="15" hidden="false" customHeight="false" outlineLevel="0" collapsed="false"/>
    <row r="3680" customFormat="false" ht="15" hidden="false" customHeight="false" outlineLevel="0" collapsed="false"/>
    <row r="3681" customFormat="false" ht="15" hidden="false" customHeight="false" outlineLevel="0" collapsed="false"/>
    <row r="3682" customFormat="false" ht="15" hidden="false" customHeight="false" outlineLevel="0" collapsed="false"/>
    <row r="3683" customFormat="false" ht="15" hidden="false" customHeight="false" outlineLevel="0" collapsed="false"/>
    <row r="3684" customFormat="false" ht="15" hidden="false" customHeight="false" outlineLevel="0" collapsed="false"/>
    <row r="3685" customFormat="false" ht="15" hidden="false" customHeight="false" outlineLevel="0" collapsed="false"/>
    <row r="3686" customFormat="false" ht="15" hidden="false" customHeight="false" outlineLevel="0" collapsed="false"/>
    <row r="3687" customFormat="false" ht="15" hidden="false" customHeight="false" outlineLevel="0" collapsed="false"/>
    <row r="3688" customFormat="false" ht="15" hidden="false" customHeight="false" outlineLevel="0" collapsed="false"/>
    <row r="3689" customFormat="false" ht="15" hidden="false" customHeight="false" outlineLevel="0" collapsed="false"/>
    <row r="3690" customFormat="false" ht="15" hidden="false" customHeight="false" outlineLevel="0" collapsed="false"/>
    <row r="3691" customFormat="false" ht="15" hidden="false" customHeight="false" outlineLevel="0" collapsed="false"/>
    <row r="3692" customFormat="false" ht="15" hidden="false" customHeight="false" outlineLevel="0" collapsed="false"/>
    <row r="3693" customFormat="false" ht="15" hidden="false" customHeight="false" outlineLevel="0" collapsed="false"/>
    <row r="3694" customFormat="false" ht="15" hidden="false" customHeight="false" outlineLevel="0" collapsed="false"/>
    <row r="3695" customFormat="false" ht="15" hidden="false" customHeight="false" outlineLevel="0" collapsed="false"/>
    <row r="3696" customFormat="false" ht="15" hidden="false" customHeight="false" outlineLevel="0" collapsed="false"/>
    <row r="3697" customFormat="false" ht="15" hidden="false" customHeight="false" outlineLevel="0" collapsed="false"/>
    <row r="3698" customFormat="false" ht="15" hidden="false" customHeight="false" outlineLevel="0" collapsed="false"/>
    <row r="3699" customFormat="false" ht="15" hidden="false" customHeight="false" outlineLevel="0" collapsed="false"/>
    <row r="3700" customFormat="false" ht="15" hidden="false" customHeight="false" outlineLevel="0" collapsed="false"/>
    <row r="3701" customFormat="false" ht="15" hidden="false" customHeight="false" outlineLevel="0" collapsed="false"/>
    <row r="3702" customFormat="false" ht="15" hidden="false" customHeight="false" outlineLevel="0" collapsed="false"/>
    <row r="3703" customFormat="false" ht="15" hidden="false" customHeight="false" outlineLevel="0" collapsed="false"/>
    <row r="3704" customFormat="false" ht="15" hidden="false" customHeight="false" outlineLevel="0" collapsed="false"/>
    <row r="3705" customFormat="false" ht="15" hidden="false" customHeight="false" outlineLevel="0" collapsed="false"/>
    <row r="3706" customFormat="false" ht="15" hidden="false" customHeight="false" outlineLevel="0" collapsed="false"/>
    <row r="3707" customFormat="false" ht="15" hidden="false" customHeight="false" outlineLevel="0" collapsed="false"/>
    <row r="3708" customFormat="false" ht="15" hidden="false" customHeight="false" outlineLevel="0" collapsed="false"/>
    <row r="3709" customFormat="false" ht="15" hidden="false" customHeight="false" outlineLevel="0" collapsed="false"/>
    <row r="3710" customFormat="false" ht="15" hidden="false" customHeight="false" outlineLevel="0" collapsed="false"/>
    <row r="3711" customFormat="false" ht="15" hidden="false" customHeight="false" outlineLevel="0" collapsed="false"/>
    <row r="3712" customFormat="false" ht="15" hidden="false" customHeight="false" outlineLevel="0" collapsed="false"/>
    <row r="3713" customFormat="false" ht="15" hidden="false" customHeight="false" outlineLevel="0" collapsed="false"/>
    <row r="3714" customFormat="false" ht="15" hidden="false" customHeight="false" outlineLevel="0" collapsed="false"/>
    <row r="3715" customFormat="false" ht="15" hidden="false" customHeight="false" outlineLevel="0" collapsed="false"/>
    <row r="3716" customFormat="false" ht="15" hidden="false" customHeight="false" outlineLevel="0" collapsed="false"/>
    <row r="3717" customFormat="false" ht="15" hidden="false" customHeight="false" outlineLevel="0" collapsed="false"/>
    <row r="3718" customFormat="false" ht="15" hidden="false" customHeight="false" outlineLevel="0" collapsed="false"/>
    <row r="3719" customFormat="false" ht="15" hidden="false" customHeight="false" outlineLevel="0" collapsed="false"/>
    <row r="3720" customFormat="false" ht="15" hidden="false" customHeight="false" outlineLevel="0" collapsed="false"/>
    <row r="3721" customFormat="false" ht="15" hidden="false" customHeight="false" outlineLevel="0" collapsed="false"/>
    <row r="3722" customFormat="false" ht="15" hidden="false" customHeight="false" outlineLevel="0" collapsed="false"/>
    <row r="3723" customFormat="false" ht="15" hidden="false" customHeight="false" outlineLevel="0" collapsed="false"/>
    <row r="3724" customFormat="false" ht="15" hidden="false" customHeight="false" outlineLevel="0" collapsed="false"/>
    <row r="3725" customFormat="false" ht="15" hidden="false" customHeight="false" outlineLevel="0" collapsed="false"/>
    <row r="3726" customFormat="false" ht="15" hidden="false" customHeight="false" outlineLevel="0" collapsed="false"/>
    <row r="3727" customFormat="false" ht="15" hidden="false" customHeight="false" outlineLevel="0" collapsed="false"/>
    <row r="3728" customFormat="false" ht="15" hidden="false" customHeight="false" outlineLevel="0" collapsed="false"/>
    <row r="3729" customFormat="false" ht="15" hidden="false" customHeight="false" outlineLevel="0" collapsed="false"/>
    <row r="3730" customFormat="false" ht="15" hidden="false" customHeight="false" outlineLevel="0" collapsed="false"/>
    <row r="3731" customFormat="false" ht="15" hidden="false" customHeight="false" outlineLevel="0" collapsed="false"/>
    <row r="3732" customFormat="false" ht="15" hidden="false" customHeight="false" outlineLevel="0" collapsed="false"/>
    <row r="3733" customFormat="false" ht="15" hidden="false" customHeight="false" outlineLevel="0" collapsed="false"/>
    <row r="3734" customFormat="false" ht="15" hidden="false" customHeight="false" outlineLevel="0" collapsed="false"/>
    <row r="3735" customFormat="false" ht="15" hidden="false" customHeight="false" outlineLevel="0" collapsed="false"/>
    <row r="3736" customFormat="false" ht="15" hidden="false" customHeight="false" outlineLevel="0" collapsed="false"/>
    <row r="3737" customFormat="false" ht="15" hidden="false" customHeight="false" outlineLevel="0" collapsed="false"/>
    <row r="3738" customFormat="false" ht="15" hidden="false" customHeight="false" outlineLevel="0" collapsed="false"/>
    <row r="3739" customFormat="false" ht="15" hidden="false" customHeight="false" outlineLevel="0" collapsed="false"/>
    <row r="3740" customFormat="false" ht="15" hidden="false" customHeight="false" outlineLevel="0" collapsed="false"/>
    <row r="3741" customFormat="false" ht="15" hidden="false" customHeight="false" outlineLevel="0" collapsed="false"/>
    <row r="3742" customFormat="false" ht="15" hidden="false" customHeight="false" outlineLevel="0" collapsed="false"/>
    <row r="3743" customFormat="false" ht="15" hidden="false" customHeight="false" outlineLevel="0" collapsed="false"/>
    <row r="3744" customFormat="false" ht="15" hidden="false" customHeight="false" outlineLevel="0" collapsed="false"/>
    <row r="3745" customFormat="false" ht="15" hidden="false" customHeight="false" outlineLevel="0" collapsed="false"/>
    <row r="3746" customFormat="false" ht="15" hidden="false" customHeight="false" outlineLevel="0" collapsed="false"/>
    <row r="3747" customFormat="false" ht="15" hidden="false" customHeight="false" outlineLevel="0" collapsed="false"/>
    <row r="3748" customFormat="false" ht="15" hidden="false" customHeight="false" outlineLevel="0" collapsed="false"/>
    <row r="3749" customFormat="false" ht="15" hidden="false" customHeight="false" outlineLevel="0" collapsed="false"/>
    <row r="3750" customFormat="false" ht="15" hidden="false" customHeight="false" outlineLevel="0" collapsed="false"/>
    <row r="3751" customFormat="false" ht="15" hidden="false" customHeight="false" outlineLevel="0" collapsed="false"/>
    <row r="3752" customFormat="false" ht="15" hidden="false" customHeight="false" outlineLevel="0" collapsed="false"/>
    <row r="3753" customFormat="false" ht="15" hidden="false" customHeight="false" outlineLevel="0" collapsed="false"/>
    <row r="3754" customFormat="false" ht="15" hidden="false" customHeight="false" outlineLevel="0" collapsed="false"/>
    <row r="3755" customFormat="false" ht="15" hidden="false" customHeight="false" outlineLevel="0" collapsed="false"/>
    <row r="3756" customFormat="false" ht="15" hidden="false" customHeight="false" outlineLevel="0" collapsed="false"/>
    <row r="3757" customFormat="false" ht="15" hidden="false" customHeight="false" outlineLevel="0" collapsed="false"/>
    <row r="3758" customFormat="false" ht="15" hidden="false" customHeight="false" outlineLevel="0" collapsed="false"/>
    <row r="3759" customFormat="false" ht="15" hidden="false" customHeight="false" outlineLevel="0" collapsed="false"/>
    <row r="3760" customFormat="false" ht="15" hidden="false" customHeight="false" outlineLevel="0" collapsed="false"/>
    <row r="3761" customFormat="false" ht="15" hidden="false" customHeight="false" outlineLevel="0" collapsed="false"/>
    <row r="3762" customFormat="false" ht="15" hidden="false" customHeight="false" outlineLevel="0" collapsed="false"/>
    <row r="3763" customFormat="false" ht="15" hidden="false" customHeight="false" outlineLevel="0" collapsed="false"/>
    <row r="3764" customFormat="false" ht="15" hidden="false" customHeight="false" outlineLevel="0" collapsed="false"/>
    <row r="3765" customFormat="false" ht="15" hidden="false" customHeight="false" outlineLevel="0" collapsed="false"/>
    <row r="3766" customFormat="false" ht="15" hidden="false" customHeight="false" outlineLevel="0" collapsed="false"/>
    <row r="3767" customFormat="false" ht="15" hidden="false" customHeight="false" outlineLevel="0" collapsed="false"/>
    <row r="3768" customFormat="false" ht="15" hidden="false" customHeight="false" outlineLevel="0" collapsed="false"/>
    <row r="3769" customFormat="false" ht="15" hidden="false" customHeight="false" outlineLevel="0" collapsed="false"/>
    <row r="3770" customFormat="false" ht="15" hidden="false" customHeight="false" outlineLevel="0" collapsed="false"/>
    <row r="3771" customFormat="false" ht="15" hidden="false" customHeight="false" outlineLevel="0" collapsed="false"/>
    <row r="3772" customFormat="false" ht="15" hidden="false" customHeight="false" outlineLevel="0" collapsed="false"/>
    <row r="3773" customFormat="false" ht="15" hidden="false" customHeight="false" outlineLevel="0" collapsed="false"/>
    <row r="3774" customFormat="false" ht="15" hidden="false" customHeight="false" outlineLevel="0" collapsed="false"/>
    <row r="3775" customFormat="false" ht="15" hidden="false" customHeight="false" outlineLevel="0" collapsed="false"/>
    <row r="3776" customFormat="false" ht="15" hidden="false" customHeight="false" outlineLevel="0" collapsed="false"/>
    <row r="3777" customFormat="false" ht="15" hidden="false" customHeight="false" outlineLevel="0" collapsed="false"/>
    <row r="3778" customFormat="false" ht="15" hidden="false" customHeight="false" outlineLevel="0" collapsed="false"/>
    <row r="3779" customFormat="false" ht="15" hidden="false" customHeight="false" outlineLevel="0" collapsed="false"/>
    <row r="3780" customFormat="false" ht="15" hidden="false" customHeight="false" outlineLevel="0" collapsed="false"/>
    <row r="3781" customFormat="false" ht="15" hidden="false" customHeight="false" outlineLevel="0" collapsed="false"/>
    <row r="3782" customFormat="false" ht="15" hidden="false" customHeight="false" outlineLevel="0" collapsed="false"/>
    <row r="3783" customFormat="false" ht="15" hidden="false" customHeight="false" outlineLevel="0" collapsed="false"/>
    <row r="3784" customFormat="false" ht="15" hidden="false" customHeight="false" outlineLevel="0" collapsed="false"/>
    <row r="3785" customFormat="false" ht="15" hidden="false" customHeight="false" outlineLevel="0" collapsed="false"/>
    <row r="3786" customFormat="false" ht="15" hidden="false" customHeight="false" outlineLevel="0" collapsed="false"/>
    <row r="3787" customFormat="false" ht="15" hidden="false" customHeight="false" outlineLevel="0" collapsed="false"/>
    <row r="3788" customFormat="false" ht="15" hidden="false" customHeight="false" outlineLevel="0" collapsed="false"/>
    <row r="3789" customFormat="false" ht="15" hidden="false" customHeight="false" outlineLevel="0" collapsed="false"/>
    <row r="3790" customFormat="false" ht="15" hidden="false" customHeight="false" outlineLevel="0" collapsed="false"/>
    <row r="3791" customFormat="false" ht="15" hidden="false" customHeight="false" outlineLevel="0" collapsed="false"/>
    <row r="3792" customFormat="false" ht="15" hidden="false" customHeight="false" outlineLevel="0" collapsed="false"/>
    <row r="3793" customFormat="false" ht="15" hidden="false" customHeight="false" outlineLevel="0" collapsed="false"/>
    <row r="3794" customFormat="false" ht="15" hidden="false" customHeight="false" outlineLevel="0" collapsed="false"/>
    <row r="3795" customFormat="false" ht="15" hidden="false" customHeight="false" outlineLevel="0" collapsed="false"/>
    <row r="3796" customFormat="false" ht="15" hidden="false" customHeight="false" outlineLevel="0" collapsed="false"/>
    <row r="3797" customFormat="false" ht="15" hidden="false" customHeight="false" outlineLevel="0" collapsed="false"/>
    <row r="3798" customFormat="false" ht="15" hidden="false" customHeight="false" outlineLevel="0" collapsed="false"/>
    <row r="3799" customFormat="false" ht="15" hidden="false" customHeight="false" outlineLevel="0" collapsed="false"/>
    <row r="3800" customFormat="false" ht="15" hidden="false" customHeight="false" outlineLevel="0" collapsed="false"/>
    <row r="3801" customFormat="false" ht="15" hidden="false" customHeight="false" outlineLevel="0" collapsed="false"/>
    <row r="3802" customFormat="false" ht="15" hidden="false" customHeight="false" outlineLevel="0" collapsed="false"/>
    <row r="3803" customFormat="false" ht="15" hidden="false" customHeight="false" outlineLevel="0" collapsed="false"/>
    <row r="3804" customFormat="false" ht="15" hidden="false" customHeight="false" outlineLevel="0" collapsed="false"/>
    <row r="3805" customFormat="false" ht="15" hidden="false" customHeight="false" outlineLevel="0" collapsed="false"/>
    <row r="3806" customFormat="false" ht="15" hidden="false" customHeight="false" outlineLevel="0" collapsed="false"/>
    <row r="3807" customFormat="false" ht="15" hidden="false" customHeight="false" outlineLevel="0" collapsed="false"/>
    <row r="3808" customFormat="false" ht="15" hidden="false" customHeight="false" outlineLevel="0" collapsed="false"/>
    <row r="3809" customFormat="false" ht="15" hidden="false" customHeight="false" outlineLevel="0" collapsed="false"/>
    <row r="3810" customFormat="false" ht="15" hidden="false" customHeight="false" outlineLevel="0" collapsed="false"/>
    <row r="3811" customFormat="false" ht="15" hidden="false" customHeight="false" outlineLevel="0" collapsed="false"/>
    <row r="3812" customFormat="false" ht="15" hidden="false" customHeight="false" outlineLevel="0" collapsed="false"/>
    <row r="3813" customFormat="false" ht="15" hidden="false" customHeight="false" outlineLevel="0" collapsed="false"/>
    <row r="3814" customFormat="false" ht="15" hidden="false" customHeight="false" outlineLevel="0" collapsed="false"/>
    <row r="3815" customFormat="false" ht="15" hidden="false" customHeight="false" outlineLevel="0" collapsed="false"/>
    <row r="3816" customFormat="false" ht="15" hidden="false" customHeight="false" outlineLevel="0" collapsed="false"/>
    <row r="3817" customFormat="false" ht="15" hidden="false" customHeight="false" outlineLevel="0" collapsed="false"/>
    <row r="3818" customFormat="false" ht="15" hidden="false" customHeight="false" outlineLevel="0" collapsed="false"/>
    <row r="3819" customFormat="false" ht="15" hidden="false" customHeight="false" outlineLevel="0" collapsed="false"/>
    <row r="3820" customFormat="false" ht="15" hidden="false" customHeight="false" outlineLevel="0" collapsed="false"/>
    <row r="3821" customFormat="false" ht="15" hidden="false" customHeight="false" outlineLevel="0" collapsed="false"/>
    <row r="3822" customFormat="false" ht="15" hidden="false" customHeight="false" outlineLevel="0" collapsed="false"/>
    <row r="3823" customFormat="false" ht="15" hidden="false" customHeight="false" outlineLevel="0" collapsed="false"/>
    <row r="3824" customFormat="false" ht="15" hidden="false" customHeight="false" outlineLevel="0" collapsed="false"/>
    <row r="3825" customFormat="false" ht="15" hidden="false" customHeight="false" outlineLevel="0" collapsed="false"/>
    <row r="3826" customFormat="false" ht="15" hidden="false" customHeight="false" outlineLevel="0" collapsed="false"/>
    <row r="3827" customFormat="false" ht="15" hidden="false" customHeight="false" outlineLevel="0" collapsed="false"/>
    <row r="3828" customFormat="false" ht="15" hidden="false" customHeight="false" outlineLevel="0" collapsed="false"/>
    <row r="3829" customFormat="false" ht="15" hidden="false" customHeight="false" outlineLevel="0" collapsed="false"/>
    <row r="3830" customFormat="false" ht="15" hidden="false" customHeight="false" outlineLevel="0" collapsed="false"/>
    <row r="3831" customFormat="false" ht="15" hidden="false" customHeight="false" outlineLevel="0" collapsed="false"/>
    <row r="3832" customFormat="false" ht="15" hidden="false" customHeight="false" outlineLevel="0" collapsed="false"/>
    <row r="3833" customFormat="false" ht="15" hidden="false" customHeight="false" outlineLevel="0" collapsed="false"/>
    <row r="3834" customFormat="false" ht="15" hidden="false" customHeight="false" outlineLevel="0" collapsed="false"/>
    <row r="3835" customFormat="false" ht="15" hidden="false" customHeight="false" outlineLevel="0" collapsed="false"/>
    <row r="3836" customFormat="false" ht="15" hidden="false" customHeight="false" outlineLevel="0" collapsed="false"/>
    <row r="3837" customFormat="false" ht="15" hidden="false" customHeight="false" outlineLevel="0" collapsed="false"/>
    <row r="3838" customFormat="false" ht="15" hidden="false" customHeight="false" outlineLevel="0" collapsed="false"/>
    <row r="3839" customFormat="false" ht="15" hidden="false" customHeight="false" outlineLevel="0" collapsed="false"/>
    <row r="3840" customFormat="false" ht="15" hidden="false" customHeight="false" outlineLevel="0" collapsed="false"/>
    <row r="3841" customFormat="false" ht="15" hidden="false" customHeight="false" outlineLevel="0" collapsed="false"/>
    <row r="3842" customFormat="false" ht="15" hidden="false" customHeight="false" outlineLevel="0" collapsed="false"/>
    <row r="3843" customFormat="false" ht="15" hidden="false" customHeight="false" outlineLevel="0" collapsed="false"/>
    <row r="3844" customFormat="false" ht="15" hidden="false" customHeight="false" outlineLevel="0" collapsed="false"/>
    <row r="3845" customFormat="false" ht="15" hidden="false" customHeight="false" outlineLevel="0" collapsed="false"/>
    <row r="3846" customFormat="false" ht="15" hidden="false" customHeight="false" outlineLevel="0" collapsed="false"/>
    <row r="3847" customFormat="false" ht="15" hidden="false" customHeight="false" outlineLevel="0" collapsed="false"/>
    <row r="3848" customFormat="false" ht="15" hidden="false" customHeight="false" outlineLevel="0" collapsed="false"/>
    <row r="3849" customFormat="false" ht="15" hidden="false" customHeight="false" outlineLevel="0" collapsed="false"/>
    <row r="3850" customFormat="false" ht="15" hidden="false" customHeight="false" outlineLevel="0" collapsed="false"/>
    <row r="3851" customFormat="false" ht="15" hidden="false" customHeight="false" outlineLevel="0" collapsed="false"/>
    <row r="3852" customFormat="false" ht="15" hidden="false" customHeight="false" outlineLevel="0" collapsed="false"/>
    <row r="3853" customFormat="false" ht="15" hidden="false" customHeight="false" outlineLevel="0" collapsed="false"/>
    <row r="3854" customFormat="false" ht="15" hidden="false" customHeight="false" outlineLevel="0" collapsed="false"/>
    <row r="3855" customFormat="false" ht="15" hidden="false" customHeight="false" outlineLevel="0" collapsed="false"/>
    <row r="3856" customFormat="false" ht="15" hidden="false" customHeight="false" outlineLevel="0" collapsed="false"/>
    <row r="3857" customFormat="false" ht="15" hidden="false" customHeight="false" outlineLevel="0" collapsed="false"/>
    <row r="3858" customFormat="false" ht="15" hidden="false" customHeight="false" outlineLevel="0" collapsed="false"/>
    <row r="3859" customFormat="false" ht="15" hidden="false" customHeight="false" outlineLevel="0" collapsed="false"/>
    <row r="3860" customFormat="false" ht="15" hidden="false" customHeight="false" outlineLevel="0" collapsed="false"/>
    <row r="3861" customFormat="false" ht="15" hidden="false" customHeight="false" outlineLevel="0" collapsed="false"/>
    <row r="3862" customFormat="false" ht="15" hidden="false" customHeight="false" outlineLevel="0" collapsed="false"/>
    <row r="3863" customFormat="false" ht="15" hidden="false" customHeight="false" outlineLevel="0" collapsed="false"/>
    <row r="3864" customFormat="false" ht="15" hidden="false" customHeight="false" outlineLevel="0" collapsed="false"/>
    <row r="3865" customFormat="false" ht="15" hidden="false" customHeight="false" outlineLevel="0" collapsed="false"/>
    <row r="3866" customFormat="false" ht="15" hidden="false" customHeight="false" outlineLevel="0" collapsed="false"/>
    <row r="3867" customFormat="false" ht="15" hidden="false" customHeight="false" outlineLevel="0" collapsed="false"/>
    <row r="3868" customFormat="false" ht="15" hidden="false" customHeight="false" outlineLevel="0" collapsed="false"/>
    <row r="3869" customFormat="false" ht="15" hidden="false" customHeight="false" outlineLevel="0" collapsed="false"/>
    <row r="3870" customFormat="false" ht="15" hidden="false" customHeight="false" outlineLevel="0" collapsed="false"/>
    <row r="3871" customFormat="false" ht="15" hidden="false" customHeight="false" outlineLevel="0" collapsed="false"/>
    <row r="3872" customFormat="false" ht="15" hidden="false" customHeight="false" outlineLevel="0" collapsed="false"/>
    <row r="3873" customFormat="false" ht="15" hidden="false" customHeight="false" outlineLevel="0" collapsed="false"/>
    <row r="3874" customFormat="false" ht="15" hidden="false" customHeight="false" outlineLevel="0" collapsed="false"/>
    <row r="3875" customFormat="false" ht="15" hidden="false" customHeight="false" outlineLevel="0" collapsed="false"/>
    <row r="3876" customFormat="false" ht="15" hidden="false" customHeight="false" outlineLevel="0" collapsed="false"/>
    <row r="3877" customFormat="false" ht="15" hidden="false" customHeight="false" outlineLevel="0" collapsed="false"/>
    <row r="3878" customFormat="false" ht="15" hidden="false" customHeight="false" outlineLevel="0" collapsed="false"/>
    <row r="3879" customFormat="false" ht="15" hidden="false" customHeight="false" outlineLevel="0" collapsed="false"/>
    <row r="3880" customFormat="false" ht="15" hidden="false" customHeight="false" outlineLevel="0" collapsed="false"/>
    <row r="3881" customFormat="false" ht="15" hidden="false" customHeight="false" outlineLevel="0" collapsed="false"/>
    <row r="3882" customFormat="false" ht="15" hidden="false" customHeight="false" outlineLevel="0" collapsed="false"/>
    <row r="3883" customFormat="false" ht="15" hidden="false" customHeight="false" outlineLevel="0" collapsed="false"/>
    <row r="3884" customFormat="false" ht="15" hidden="false" customHeight="false" outlineLevel="0" collapsed="false"/>
    <row r="3885" customFormat="false" ht="15" hidden="false" customHeight="false" outlineLevel="0" collapsed="false"/>
    <row r="3886" customFormat="false" ht="15" hidden="false" customHeight="false" outlineLevel="0" collapsed="false"/>
    <row r="3887" customFormat="false" ht="15" hidden="false" customHeight="false" outlineLevel="0" collapsed="false"/>
    <row r="3888" customFormat="false" ht="15" hidden="false" customHeight="false" outlineLevel="0" collapsed="false"/>
    <row r="3889" customFormat="false" ht="15" hidden="false" customHeight="false" outlineLevel="0" collapsed="false"/>
    <row r="3890" customFormat="false" ht="15" hidden="false" customHeight="false" outlineLevel="0" collapsed="false"/>
    <row r="3891" customFormat="false" ht="15" hidden="false" customHeight="false" outlineLevel="0" collapsed="false"/>
    <row r="3892" customFormat="false" ht="15" hidden="false" customHeight="false" outlineLevel="0" collapsed="false"/>
    <row r="3893" customFormat="false" ht="15" hidden="false" customHeight="false" outlineLevel="0" collapsed="false"/>
    <row r="3894" customFormat="false" ht="15" hidden="false" customHeight="false" outlineLevel="0" collapsed="false"/>
    <row r="3895" customFormat="false" ht="15" hidden="false" customHeight="false" outlineLevel="0" collapsed="false"/>
    <row r="3896" customFormat="false" ht="15" hidden="false" customHeight="false" outlineLevel="0" collapsed="false"/>
    <row r="3897" customFormat="false" ht="15" hidden="false" customHeight="false" outlineLevel="0" collapsed="false"/>
    <row r="3898" customFormat="false" ht="15" hidden="false" customHeight="false" outlineLevel="0" collapsed="false"/>
    <row r="3899" customFormat="false" ht="15" hidden="false" customHeight="false" outlineLevel="0" collapsed="false"/>
    <row r="3900" customFormat="false" ht="15" hidden="false" customHeight="false" outlineLevel="0" collapsed="false"/>
    <row r="3901" customFormat="false" ht="15" hidden="false" customHeight="false" outlineLevel="0" collapsed="false"/>
    <row r="3902" customFormat="false" ht="15" hidden="false" customHeight="false" outlineLevel="0" collapsed="false"/>
    <row r="3903" customFormat="false" ht="15" hidden="false" customHeight="false" outlineLevel="0" collapsed="false"/>
    <row r="3904" customFormat="false" ht="15" hidden="false" customHeight="false" outlineLevel="0" collapsed="false"/>
    <row r="3905" customFormat="false" ht="15" hidden="false" customHeight="false" outlineLevel="0" collapsed="false"/>
    <row r="3906" customFormat="false" ht="15" hidden="false" customHeight="false" outlineLevel="0" collapsed="false"/>
    <row r="3907" customFormat="false" ht="15" hidden="false" customHeight="false" outlineLevel="0" collapsed="false"/>
    <row r="3908" customFormat="false" ht="15" hidden="false" customHeight="false" outlineLevel="0" collapsed="false"/>
    <row r="3909" customFormat="false" ht="15" hidden="false" customHeight="false" outlineLevel="0" collapsed="false"/>
    <row r="3910" customFormat="false" ht="15" hidden="false" customHeight="false" outlineLevel="0" collapsed="false"/>
    <row r="3911" customFormat="false" ht="15" hidden="false" customHeight="false" outlineLevel="0" collapsed="false"/>
    <row r="3912" customFormat="false" ht="15" hidden="false" customHeight="false" outlineLevel="0" collapsed="false"/>
    <row r="3913" customFormat="false" ht="15" hidden="false" customHeight="false" outlineLevel="0" collapsed="false"/>
    <row r="3914" customFormat="false" ht="15" hidden="false" customHeight="false" outlineLevel="0" collapsed="false"/>
    <row r="3915" customFormat="false" ht="15" hidden="false" customHeight="false" outlineLevel="0" collapsed="false"/>
    <row r="3916" customFormat="false" ht="15" hidden="false" customHeight="false" outlineLevel="0" collapsed="false"/>
    <row r="3917" customFormat="false" ht="15" hidden="false" customHeight="false" outlineLevel="0" collapsed="false"/>
    <row r="3918" customFormat="false" ht="15" hidden="false" customHeight="false" outlineLevel="0" collapsed="false"/>
    <row r="3919" customFormat="false" ht="15" hidden="false" customHeight="false" outlineLevel="0" collapsed="false"/>
    <row r="3920" customFormat="false" ht="15" hidden="false" customHeight="false" outlineLevel="0" collapsed="false"/>
    <row r="3921" customFormat="false" ht="15" hidden="false" customHeight="false" outlineLevel="0" collapsed="false"/>
    <row r="3922" customFormat="false" ht="15" hidden="false" customHeight="false" outlineLevel="0" collapsed="false"/>
    <row r="3923" customFormat="false" ht="15" hidden="false" customHeight="false" outlineLevel="0" collapsed="false"/>
    <row r="3924" customFormat="false" ht="15" hidden="false" customHeight="false" outlineLevel="0" collapsed="false"/>
    <row r="3925" customFormat="false" ht="15" hidden="false" customHeight="false" outlineLevel="0" collapsed="false"/>
    <row r="3926" customFormat="false" ht="15" hidden="false" customHeight="false" outlineLevel="0" collapsed="false"/>
    <row r="3927" customFormat="false" ht="15" hidden="false" customHeight="false" outlineLevel="0" collapsed="false"/>
    <row r="3928" customFormat="false" ht="15" hidden="false" customHeight="false" outlineLevel="0" collapsed="false"/>
    <row r="3929" customFormat="false" ht="15" hidden="false" customHeight="false" outlineLevel="0" collapsed="false"/>
    <row r="3930" customFormat="false" ht="15" hidden="false" customHeight="false" outlineLevel="0" collapsed="false"/>
    <row r="3931" customFormat="false" ht="15" hidden="false" customHeight="false" outlineLevel="0" collapsed="false"/>
    <row r="3932" customFormat="false" ht="15" hidden="false" customHeight="false" outlineLevel="0" collapsed="false"/>
    <row r="3933" customFormat="false" ht="15" hidden="false" customHeight="false" outlineLevel="0" collapsed="false"/>
    <row r="3934" customFormat="false" ht="15" hidden="false" customHeight="false" outlineLevel="0" collapsed="false"/>
    <row r="3935" customFormat="false" ht="15" hidden="false" customHeight="false" outlineLevel="0" collapsed="false"/>
    <row r="3936" customFormat="false" ht="15" hidden="false" customHeight="false" outlineLevel="0" collapsed="false"/>
    <row r="3937" customFormat="false" ht="15" hidden="false" customHeight="false" outlineLevel="0" collapsed="false"/>
    <row r="3938" customFormat="false" ht="15" hidden="false" customHeight="false" outlineLevel="0" collapsed="false"/>
    <row r="3939" customFormat="false" ht="15" hidden="false" customHeight="false" outlineLevel="0" collapsed="false"/>
    <row r="3940" customFormat="false" ht="15" hidden="false" customHeight="false" outlineLevel="0" collapsed="false"/>
    <row r="3941" customFormat="false" ht="15" hidden="false" customHeight="false" outlineLevel="0" collapsed="false"/>
    <row r="3942" customFormat="false" ht="15" hidden="false" customHeight="false" outlineLevel="0" collapsed="false"/>
    <row r="3943" customFormat="false" ht="15" hidden="false" customHeight="false" outlineLevel="0" collapsed="false"/>
    <row r="3944" customFormat="false" ht="15" hidden="false" customHeight="false" outlineLevel="0" collapsed="false"/>
    <row r="3945" customFormat="false" ht="15" hidden="false" customHeight="false" outlineLevel="0" collapsed="false"/>
    <row r="3946" customFormat="false" ht="15" hidden="false" customHeight="false" outlineLevel="0" collapsed="false"/>
    <row r="3947" customFormat="false" ht="15" hidden="false" customHeight="false" outlineLevel="0" collapsed="false"/>
    <row r="3948" customFormat="false" ht="15" hidden="false" customHeight="false" outlineLevel="0" collapsed="false"/>
    <row r="3949" customFormat="false" ht="15" hidden="false" customHeight="false" outlineLevel="0" collapsed="false"/>
    <row r="3950" customFormat="false" ht="15" hidden="false" customHeight="false" outlineLevel="0" collapsed="false"/>
    <row r="3951" customFormat="false" ht="15" hidden="false" customHeight="false" outlineLevel="0" collapsed="false"/>
    <row r="3952" customFormat="false" ht="15" hidden="false" customHeight="false" outlineLevel="0" collapsed="false"/>
    <row r="3953" customFormat="false" ht="15" hidden="false" customHeight="false" outlineLevel="0" collapsed="false"/>
    <row r="3954" customFormat="false" ht="15" hidden="false" customHeight="false" outlineLevel="0" collapsed="false"/>
    <row r="3955" customFormat="false" ht="15" hidden="false" customHeight="false" outlineLevel="0" collapsed="false"/>
    <row r="3956" customFormat="false" ht="15" hidden="false" customHeight="false" outlineLevel="0" collapsed="false"/>
    <row r="3957" customFormat="false" ht="15" hidden="false" customHeight="false" outlineLevel="0" collapsed="false"/>
    <row r="3958" customFormat="false" ht="15" hidden="false" customHeight="false" outlineLevel="0" collapsed="false"/>
    <row r="3959" customFormat="false" ht="15" hidden="false" customHeight="false" outlineLevel="0" collapsed="false"/>
    <row r="3960" customFormat="false" ht="15" hidden="false" customHeight="false" outlineLevel="0" collapsed="false"/>
    <row r="3961" customFormat="false" ht="15" hidden="false" customHeight="false" outlineLevel="0" collapsed="false"/>
    <row r="3962" customFormat="false" ht="15" hidden="false" customHeight="false" outlineLevel="0" collapsed="false"/>
    <row r="3963" customFormat="false" ht="15" hidden="false" customHeight="false" outlineLevel="0" collapsed="false"/>
    <row r="3964" customFormat="false" ht="15" hidden="false" customHeight="false" outlineLevel="0" collapsed="false"/>
    <row r="3965" customFormat="false" ht="15" hidden="false" customHeight="false" outlineLevel="0" collapsed="false"/>
    <row r="3966" customFormat="false" ht="15" hidden="false" customHeight="false" outlineLevel="0" collapsed="false"/>
    <row r="3967" customFormat="false" ht="15" hidden="false" customHeight="false" outlineLevel="0" collapsed="false"/>
    <row r="3968" customFormat="false" ht="15" hidden="false" customHeight="false" outlineLevel="0" collapsed="false"/>
    <row r="3969" customFormat="false" ht="15" hidden="false" customHeight="false" outlineLevel="0" collapsed="false"/>
    <row r="3970" customFormat="false" ht="15" hidden="false" customHeight="false" outlineLevel="0" collapsed="false"/>
    <row r="3971" customFormat="false" ht="15" hidden="false" customHeight="false" outlineLevel="0" collapsed="false"/>
    <row r="3972" customFormat="false" ht="15" hidden="false" customHeight="false" outlineLevel="0" collapsed="false"/>
    <row r="3973" customFormat="false" ht="15" hidden="false" customHeight="false" outlineLevel="0" collapsed="false"/>
    <row r="3974" customFormat="false" ht="15" hidden="false" customHeight="false" outlineLevel="0" collapsed="false"/>
    <row r="3975" customFormat="false" ht="15" hidden="false" customHeight="false" outlineLevel="0" collapsed="false"/>
    <row r="3976" customFormat="false" ht="15" hidden="false" customHeight="false" outlineLevel="0" collapsed="false"/>
    <row r="3977" customFormat="false" ht="15" hidden="false" customHeight="false" outlineLevel="0" collapsed="false"/>
    <row r="3978" customFormat="false" ht="15" hidden="false" customHeight="false" outlineLevel="0" collapsed="false"/>
    <row r="3979" customFormat="false" ht="15" hidden="false" customHeight="false" outlineLevel="0" collapsed="false"/>
    <row r="3980" customFormat="false" ht="15" hidden="false" customHeight="false" outlineLevel="0" collapsed="false"/>
    <row r="3981" customFormat="false" ht="15" hidden="false" customHeight="false" outlineLevel="0" collapsed="false"/>
    <row r="3982" customFormat="false" ht="15" hidden="false" customHeight="false" outlineLevel="0" collapsed="false"/>
    <row r="3983" customFormat="false" ht="15" hidden="false" customHeight="false" outlineLevel="0" collapsed="false"/>
    <row r="3984" customFormat="false" ht="15" hidden="false" customHeight="false" outlineLevel="0" collapsed="false"/>
    <row r="3985" customFormat="false" ht="15" hidden="false" customHeight="false" outlineLevel="0" collapsed="false"/>
    <row r="3986" customFormat="false" ht="15" hidden="false" customHeight="false" outlineLevel="0" collapsed="false"/>
    <row r="3987" customFormat="false" ht="15" hidden="false" customHeight="false" outlineLevel="0" collapsed="false"/>
    <row r="3988" customFormat="false" ht="15" hidden="false" customHeight="false" outlineLevel="0" collapsed="false"/>
    <row r="3989" customFormat="false" ht="15" hidden="false" customHeight="false" outlineLevel="0" collapsed="false"/>
    <row r="3990" customFormat="false" ht="15" hidden="false" customHeight="false" outlineLevel="0" collapsed="false"/>
    <row r="3991" customFormat="false" ht="15" hidden="false" customHeight="false" outlineLevel="0" collapsed="false"/>
    <row r="3992" customFormat="false" ht="15" hidden="false" customHeight="false" outlineLevel="0" collapsed="false"/>
    <row r="3993" customFormat="false" ht="15" hidden="false" customHeight="false" outlineLevel="0" collapsed="false"/>
    <row r="3994" customFormat="false" ht="15" hidden="false" customHeight="false" outlineLevel="0" collapsed="false"/>
    <row r="3995" customFormat="false" ht="15" hidden="false" customHeight="false" outlineLevel="0" collapsed="false"/>
    <row r="3996" customFormat="false" ht="15" hidden="false" customHeight="false" outlineLevel="0" collapsed="false"/>
    <row r="3997" customFormat="false" ht="15" hidden="false" customHeight="false" outlineLevel="0" collapsed="false"/>
    <row r="3998" customFormat="false" ht="15" hidden="false" customHeight="false" outlineLevel="0" collapsed="false"/>
    <row r="3999" customFormat="false" ht="15" hidden="false" customHeight="false" outlineLevel="0" collapsed="false"/>
    <row r="4000" customFormat="false" ht="15" hidden="false" customHeight="false" outlineLevel="0" collapsed="false"/>
    <row r="4001" customFormat="false" ht="15" hidden="false" customHeight="false" outlineLevel="0" collapsed="false"/>
    <row r="4002" customFormat="false" ht="15" hidden="false" customHeight="false" outlineLevel="0" collapsed="false"/>
    <row r="4003" customFormat="false" ht="15" hidden="false" customHeight="false" outlineLevel="0" collapsed="false"/>
    <row r="4004" customFormat="false" ht="15" hidden="false" customHeight="false" outlineLevel="0" collapsed="false"/>
    <row r="4005" customFormat="false" ht="15" hidden="false" customHeight="false" outlineLevel="0" collapsed="false"/>
    <row r="4006" customFormat="false" ht="15" hidden="false" customHeight="false" outlineLevel="0" collapsed="false"/>
    <row r="4007" customFormat="false" ht="15" hidden="false" customHeight="false" outlineLevel="0" collapsed="false"/>
    <row r="4008" customFormat="false" ht="15" hidden="false" customHeight="false" outlineLevel="0" collapsed="false"/>
    <row r="4009" customFormat="false" ht="15" hidden="false" customHeight="false" outlineLevel="0" collapsed="false"/>
    <row r="4010" customFormat="false" ht="15" hidden="false" customHeight="false" outlineLevel="0" collapsed="false"/>
    <row r="4011" customFormat="false" ht="15" hidden="false" customHeight="false" outlineLevel="0" collapsed="false"/>
    <row r="4012" customFormat="false" ht="15" hidden="false" customHeight="false" outlineLevel="0" collapsed="false"/>
    <row r="4013" customFormat="false" ht="15" hidden="false" customHeight="false" outlineLevel="0" collapsed="false"/>
    <row r="4014" customFormat="false" ht="15" hidden="false" customHeight="false" outlineLevel="0" collapsed="false"/>
    <row r="4015" customFormat="false" ht="15" hidden="false" customHeight="false" outlineLevel="0" collapsed="false"/>
    <row r="4016" customFormat="false" ht="15" hidden="false" customHeight="false" outlineLevel="0" collapsed="false"/>
    <row r="4017" customFormat="false" ht="15" hidden="false" customHeight="false" outlineLevel="0" collapsed="false"/>
    <row r="4018" customFormat="false" ht="15" hidden="false" customHeight="false" outlineLevel="0" collapsed="false"/>
    <row r="4019" customFormat="false" ht="15" hidden="false" customHeight="false" outlineLevel="0" collapsed="false"/>
    <row r="4020" customFormat="false" ht="15" hidden="false" customHeight="false" outlineLevel="0" collapsed="false"/>
    <row r="4021" customFormat="false" ht="15" hidden="false" customHeight="false" outlineLevel="0" collapsed="false"/>
    <row r="4022" customFormat="false" ht="15" hidden="false" customHeight="false" outlineLevel="0" collapsed="false"/>
    <row r="4023" customFormat="false" ht="15" hidden="false" customHeight="false" outlineLevel="0" collapsed="false"/>
    <row r="4024" customFormat="false" ht="15" hidden="false" customHeight="false" outlineLevel="0" collapsed="false"/>
    <row r="4025" customFormat="false" ht="15" hidden="false" customHeight="false" outlineLevel="0" collapsed="false"/>
    <row r="4026" customFormat="false" ht="15" hidden="false" customHeight="false" outlineLevel="0" collapsed="false"/>
    <row r="4027" customFormat="false" ht="15" hidden="false" customHeight="false" outlineLevel="0" collapsed="false"/>
    <row r="4028" customFormat="false" ht="15" hidden="false" customHeight="false" outlineLevel="0" collapsed="false"/>
    <row r="4029" customFormat="false" ht="15" hidden="false" customHeight="false" outlineLevel="0" collapsed="false"/>
    <row r="4030" customFormat="false" ht="15" hidden="false" customHeight="false" outlineLevel="0" collapsed="false"/>
    <row r="4031" customFormat="false" ht="15" hidden="false" customHeight="false" outlineLevel="0" collapsed="false"/>
    <row r="4032" customFormat="false" ht="15" hidden="false" customHeight="false" outlineLevel="0" collapsed="false"/>
    <row r="4033" customFormat="false" ht="15" hidden="false" customHeight="false" outlineLevel="0" collapsed="false"/>
    <row r="4034" customFormat="false" ht="15" hidden="false" customHeight="false" outlineLevel="0" collapsed="false"/>
    <row r="4035" customFormat="false" ht="15" hidden="false" customHeight="false" outlineLevel="0" collapsed="false"/>
    <row r="4036" customFormat="false" ht="15" hidden="false" customHeight="false" outlineLevel="0" collapsed="false"/>
    <row r="4037" customFormat="false" ht="15" hidden="false" customHeight="false" outlineLevel="0" collapsed="false"/>
    <row r="4038" customFormat="false" ht="15" hidden="false" customHeight="false" outlineLevel="0" collapsed="false"/>
    <row r="4039" customFormat="false" ht="15" hidden="false" customHeight="false" outlineLevel="0" collapsed="false"/>
    <row r="4040" customFormat="false" ht="15" hidden="false" customHeight="false" outlineLevel="0" collapsed="false"/>
    <row r="4041" customFormat="false" ht="15" hidden="false" customHeight="false" outlineLevel="0" collapsed="false"/>
    <row r="4042" customFormat="false" ht="15" hidden="false" customHeight="false" outlineLevel="0" collapsed="false"/>
    <row r="4043" customFormat="false" ht="15" hidden="false" customHeight="false" outlineLevel="0" collapsed="false"/>
    <row r="4044" customFormat="false" ht="15" hidden="false" customHeight="false" outlineLevel="0" collapsed="false"/>
    <row r="4045" customFormat="false" ht="15" hidden="false" customHeight="false" outlineLevel="0" collapsed="false"/>
    <row r="4046" customFormat="false" ht="15" hidden="false" customHeight="false" outlineLevel="0" collapsed="false"/>
    <row r="4047" customFormat="false" ht="15" hidden="false" customHeight="false" outlineLevel="0" collapsed="false"/>
    <row r="4048" customFormat="false" ht="15" hidden="false" customHeight="false" outlineLevel="0" collapsed="false"/>
    <row r="4049" customFormat="false" ht="15" hidden="false" customHeight="false" outlineLevel="0" collapsed="false"/>
    <row r="4050" customFormat="false" ht="15" hidden="false" customHeight="false" outlineLevel="0" collapsed="false"/>
    <row r="4051" customFormat="false" ht="15" hidden="false" customHeight="false" outlineLevel="0" collapsed="false"/>
    <row r="4052" customFormat="false" ht="15" hidden="false" customHeight="false" outlineLevel="0" collapsed="false"/>
    <row r="4053" customFormat="false" ht="15" hidden="false" customHeight="false" outlineLevel="0" collapsed="false"/>
    <row r="4054" customFormat="false" ht="15" hidden="false" customHeight="false" outlineLevel="0" collapsed="false"/>
    <row r="4055" customFormat="false" ht="15" hidden="false" customHeight="false" outlineLevel="0" collapsed="false"/>
    <row r="4056" customFormat="false" ht="15" hidden="false" customHeight="false" outlineLevel="0" collapsed="false"/>
    <row r="4057" customFormat="false" ht="15" hidden="false" customHeight="false" outlineLevel="0" collapsed="false"/>
    <row r="4058" customFormat="false" ht="15" hidden="false" customHeight="false" outlineLevel="0" collapsed="false"/>
    <row r="4059" customFormat="false" ht="15" hidden="false" customHeight="false" outlineLevel="0" collapsed="false"/>
    <row r="4060" customFormat="false" ht="15" hidden="false" customHeight="false" outlineLevel="0" collapsed="false"/>
    <row r="4061" customFormat="false" ht="15" hidden="false" customHeight="false" outlineLevel="0" collapsed="false"/>
    <row r="4062" customFormat="false" ht="15" hidden="false" customHeight="false" outlineLevel="0" collapsed="false"/>
    <row r="4063" customFormat="false" ht="15" hidden="false" customHeight="false" outlineLevel="0" collapsed="false"/>
    <row r="4064" customFormat="false" ht="15" hidden="false" customHeight="false" outlineLevel="0" collapsed="false"/>
    <row r="4065" customFormat="false" ht="15" hidden="false" customHeight="false" outlineLevel="0" collapsed="false"/>
    <row r="4066" customFormat="false" ht="15" hidden="false" customHeight="false" outlineLevel="0" collapsed="false"/>
    <row r="4067" customFormat="false" ht="15" hidden="false" customHeight="false" outlineLevel="0" collapsed="false"/>
    <row r="4068" customFormat="false" ht="15" hidden="false" customHeight="false" outlineLevel="0" collapsed="false"/>
    <row r="4069" customFormat="false" ht="15" hidden="false" customHeight="false" outlineLevel="0" collapsed="false"/>
    <row r="4070" customFormat="false" ht="15" hidden="false" customHeight="false" outlineLevel="0" collapsed="false"/>
    <row r="4071" customFormat="false" ht="15" hidden="false" customHeight="false" outlineLevel="0" collapsed="false"/>
    <row r="4072" customFormat="false" ht="15" hidden="false" customHeight="false" outlineLevel="0" collapsed="false"/>
    <row r="4073" customFormat="false" ht="15" hidden="false" customHeight="false" outlineLevel="0" collapsed="false"/>
    <row r="4074" customFormat="false" ht="15" hidden="false" customHeight="false" outlineLevel="0" collapsed="false"/>
    <row r="4075" customFormat="false" ht="15" hidden="false" customHeight="false" outlineLevel="0" collapsed="false"/>
    <row r="4076" customFormat="false" ht="15" hidden="false" customHeight="false" outlineLevel="0" collapsed="false"/>
    <row r="4077" customFormat="false" ht="15" hidden="false" customHeight="false" outlineLevel="0" collapsed="false"/>
    <row r="4078" customFormat="false" ht="15" hidden="false" customHeight="false" outlineLevel="0" collapsed="false"/>
    <row r="4079" customFormat="false" ht="15" hidden="false" customHeight="false" outlineLevel="0" collapsed="false"/>
    <row r="4080" customFormat="false" ht="15" hidden="false" customHeight="false" outlineLevel="0" collapsed="false"/>
    <row r="4081" customFormat="false" ht="15" hidden="false" customHeight="false" outlineLevel="0" collapsed="false"/>
    <row r="4082" customFormat="false" ht="15" hidden="false" customHeight="false" outlineLevel="0" collapsed="false"/>
    <row r="4083" customFormat="false" ht="15" hidden="false" customHeight="false" outlineLevel="0" collapsed="false"/>
    <row r="4084" customFormat="false" ht="15" hidden="false" customHeight="false" outlineLevel="0" collapsed="false"/>
    <row r="4085" customFormat="false" ht="15" hidden="false" customHeight="false" outlineLevel="0" collapsed="false"/>
    <row r="4086" customFormat="false" ht="15" hidden="false" customHeight="false" outlineLevel="0" collapsed="false"/>
    <row r="4087" customFormat="false" ht="15" hidden="false" customHeight="false" outlineLevel="0" collapsed="false"/>
    <row r="4088" customFormat="false" ht="15" hidden="false" customHeight="false" outlineLevel="0" collapsed="false"/>
    <row r="4089" customFormat="false" ht="15" hidden="false" customHeight="false" outlineLevel="0" collapsed="false"/>
    <row r="4090" customFormat="false" ht="15" hidden="false" customHeight="false" outlineLevel="0" collapsed="false"/>
    <row r="4091" customFormat="false" ht="15" hidden="false" customHeight="false" outlineLevel="0" collapsed="false"/>
    <row r="4092" customFormat="false" ht="15" hidden="false" customHeight="false" outlineLevel="0" collapsed="false"/>
    <row r="4093" customFormat="false" ht="15" hidden="false" customHeight="false" outlineLevel="0" collapsed="false"/>
    <row r="4094" customFormat="false" ht="15" hidden="false" customHeight="false" outlineLevel="0" collapsed="false"/>
    <row r="4095" customFormat="false" ht="15" hidden="false" customHeight="false" outlineLevel="0" collapsed="false"/>
    <row r="4096" customFormat="false" ht="15" hidden="false" customHeight="false" outlineLevel="0" collapsed="false"/>
    <row r="4097" customFormat="false" ht="15" hidden="false" customHeight="false" outlineLevel="0" collapsed="false"/>
    <row r="4098" customFormat="false" ht="15" hidden="false" customHeight="false" outlineLevel="0" collapsed="false"/>
    <row r="4099" customFormat="false" ht="15" hidden="false" customHeight="false" outlineLevel="0" collapsed="false"/>
    <row r="4100" customFormat="false" ht="15" hidden="false" customHeight="false" outlineLevel="0" collapsed="false"/>
    <row r="4101" customFormat="false" ht="15" hidden="false" customHeight="false" outlineLevel="0" collapsed="false"/>
    <row r="4102" customFormat="false" ht="15" hidden="false" customHeight="false" outlineLevel="0" collapsed="false"/>
    <row r="4103" customFormat="false" ht="15" hidden="false" customHeight="false" outlineLevel="0" collapsed="false"/>
    <row r="4104" customFormat="false" ht="15" hidden="false" customHeight="false" outlineLevel="0" collapsed="false"/>
    <row r="4105" customFormat="false" ht="15" hidden="false" customHeight="false" outlineLevel="0" collapsed="false"/>
    <row r="4106" customFormat="false" ht="15" hidden="false" customHeight="false" outlineLevel="0" collapsed="false"/>
    <row r="4107" customFormat="false" ht="15" hidden="false" customHeight="false" outlineLevel="0" collapsed="false"/>
    <row r="4108" customFormat="false" ht="15" hidden="false" customHeight="false" outlineLevel="0" collapsed="false"/>
    <row r="4109" customFormat="false" ht="15" hidden="false" customHeight="false" outlineLevel="0" collapsed="false"/>
    <row r="4110" customFormat="false" ht="15" hidden="false" customHeight="false" outlineLevel="0" collapsed="false"/>
    <row r="4111" customFormat="false" ht="15" hidden="false" customHeight="false" outlineLevel="0" collapsed="false"/>
    <row r="4112" customFormat="false" ht="15" hidden="false" customHeight="false" outlineLevel="0" collapsed="false"/>
    <row r="4113" customFormat="false" ht="15" hidden="false" customHeight="false" outlineLevel="0" collapsed="false"/>
    <row r="4114" customFormat="false" ht="15" hidden="false" customHeight="false" outlineLevel="0" collapsed="false"/>
    <row r="4115" customFormat="false" ht="15" hidden="false" customHeight="false" outlineLevel="0" collapsed="false"/>
    <row r="4116" customFormat="false" ht="15" hidden="false" customHeight="false" outlineLevel="0" collapsed="false"/>
    <row r="4117" customFormat="false" ht="15" hidden="false" customHeight="false" outlineLevel="0" collapsed="false"/>
    <row r="4118" customFormat="false" ht="15" hidden="false" customHeight="false" outlineLevel="0" collapsed="false"/>
    <row r="4119" customFormat="false" ht="15" hidden="false" customHeight="false" outlineLevel="0" collapsed="false"/>
    <row r="4120" customFormat="false" ht="15" hidden="false" customHeight="false" outlineLevel="0" collapsed="false"/>
    <row r="4121" customFormat="false" ht="15" hidden="false" customHeight="false" outlineLevel="0" collapsed="false"/>
    <row r="4122" customFormat="false" ht="15" hidden="false" customHeight="false" outlineLevel="0" collapsed="false"/>
    <row r="4123" customFormat="false" ht="15" hidden="false" customHeight="false" outlineLevel="0" collapsed="false"/>
    <row r="4124" customFormat="false" ht="15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I1050"/>
  <sheetViews>
    <sheetView showFormulas="false" showGridLines="true" showRowColHeaders="true" showZeros="true" rightToLeft="false" tabSelected="false" showOutlineSymbols="true" defaultGridColor="true" view="normal" topLeftCell="A20" colorId="64" zoomScale="75" zoomScaleNormal="75" zoomScalePageLayoutView="100" workbookViewId="0">
      <selection pane="topLeft" activeCell="B31" activeCellId="0" sqref="B31"/>
    </sheetView>
  </sheetViews>
  <sheetFormatPr defaultColWidth="9.3359375" defaultRowHeight="14.25" customHeight="true" zeroHeight="false" outlineLevelRow="0" outlineLevelCol="0"/>
  <cols>
    <col collapsed="false" customWidth="true" hidden="false" outlineLevel="0" max="1" min="1" style="1" width="11.67"/>
    <col collapsed="false" customWidth="true" hidden="false" outlineLevel="0" max="3" min="2" style="1" width="13.16"/>
    <col collapsed="false" customWidth="true" hidden="false" outlineLevel="0" max="4" min="4" style="1" width="14.83"/>
    <col collapsed="false" customWidth="true" hidden="false" outlineLevel="0" max="5" min="5" style="1" width="11.67"/>
    <col collapsed="false" customWidth="true" hidden="false" outlineLevel="0" max="6" min="6" style="1" width="12.83"/>
    <col collapsed="false" customWidth="true" hidden="false" outlineLevel="0" max="7" min="7" style="1" width="10.89"/>
    <col collapsed="false" customWidth="true" hidden="false" outlineLevel="0" max="8" min="8" style="1" width="12"/>
    <col collapsed="false" customWidth="true" hidden="false" outlineLevel="0" max="9" min="9" style="1" width="16.64"/>
    <col collapsed="false" customWidth="true" hidden="false" outlineLevel="0" max="11" min="10" style="1" width="12"/>
    <col collapsed="false" customWidth="true" hidden="false" outlineLevel="0" max="12" min="12" style="1" width="11.16"/>
    <col collapsed="false" customWidth="true" hidden="false" outlineLevel="0" max="13" min="13" style="54" width="16.64"/>
    <col collapsed="false" customWidth="true" hidden="false" outlineLevel="0" max="14" min="14" style="54" width="11.83"/>
    <col collapsed="false" customWidth="true" hidden="false" outlineLevel="0" max="268" min="15" style="54" width="8.67"/>
  </cols>
  <sheetData>
    <row r="1" customFormat="false" ht="18" hidden="false" customHeight="true" outlineLevel="0" collapsed="false">
      <c r="A1" s="55" t="s">
        <v>122</v>
      </c>
      <c r="B1" s="56" t="s">
        <v>123</v>
      </c>
      <c r="C1" s="56" t="s">
        <v>124</v>
      </c>
      <c r="D1" s="56"/>
      <c r="E1" s="56"/>
      <c r="F1" s="56"/>
      <c r="G1" s="56" t="s">
        <v>59</v>
      </c>
      <c r="H1" s="56" t="s">
        <v>125</v>
      </c>
      <c r="I1" s="56" t="s">
        <v>126</v>
      </c>
      <c r="J1" s="56"/>
      <c r="K1" s="56" t="s">
        <v>127</v>
      </c>
      <c r="L1" s="54" t="n">
        <v>0.275</v>
      </c>
    </row>
    <row r="2" customFormat="false" ht="14.25" hidden="false" customHeight="false" outlineLevel="0" collapsed="false">
      <c r="A2" s="54"/>
      <c r="B2" s="54"/>
      <c r="C2" s="54"/>
      <c r="D2" s="54" t="s">
        <v>128</v>
      </c>
      <c r="E2" s="54" t="s">
        <v>129</v>
      </c>
      <c r="F2" s="54"/>
      <c r="G2" s="54"/>
      <c r="H2" s="54" t="s">
        <v>88</v>
      </c>
      <c r="I2" s="57" t="s">
        <v>130</v>
      </c>
      <c r="J2" s="57" t="n">
        <f aca="false">I2*12</f>
        <v>870000</v>
      </c>
      <c r="K2" s="57" t="n">
        <f aca="false">2*I2</f>
        <v>145000</v>
      </c>
      <c r="L2" s="58" t="n">
        <f aca="false">D6+($J$2-A6)*C6</f>
        <v>250067</v>
      </c>
    </row>
    <row r="3" customFormat="false" ht="14.25" hidden="false" customHeight="false" outlineLevel="0" collapsed="false">
      <c r="A3" s="59" t="s">
        <v>131</v>
      </c>
      <c r="B3" s="60" t="s">
        <v>132</v>
      </c>
      <c r="C3" s="61" t="n">
        <v>0.18</v>
      </c>
      <c r="D3" s="62" t="n">
        <v>0</v>
      </c>
      <c r="E3" s="63" t="n">
        <f aca="false">D3+(B3-A3)*C3</f>
        <v>42678</v>
      </c>
      <c r="F3" s="54"/>
      <c r="G3" s="54"/>
      <c r="H3" s="54" t="s">
        <v>133</v>
      </c>
      <c r="I3" s="57" t="n">
        <f aca="false">14166+177</f>
        <v>14343</v>
      </c>
      <c r="J3" s="57" t="n">
        <f aca="false">I3*12</f>
        <v>172116</v>
      </c>
      <c r="K3" s="64" t="n">
        <f aca="false">$D$3+($K$2-$A$3)*$C$3</f>
        <v>26100</v>
      </c>
      <c r="L3" s="58" t="n">
        <f aca="false">$D$7+($J$2-$A$7)*$C$7</f>
        <v>255977</v>
      </c>
    </row>
    <row r="4" customFormat="false" ht="14.25" hidden="false" customHeight="false" outlineLevel="0" collapsed="false">
      <c r="A4" s="65" t="str">
        <f aca="false">B3</f>
        <v>237100</v>
      </c>
      <c r="B4" s="66" t="n">
        <v>370500</v>
      </c>
      <c r="C4" s="67" t="n">
        <v>0.26</v>
      </c>
      <c r="D4" s="66" t="n">
        <f aca="false">E3</f>
        <v>42678</v>
      </c>
      <c r="E4" s="68" t="n">
        <f aca="false">D4+(B4-A4)*C4</f>
        <v>77362</v>
      </c>
      <c r="F4" s="54"/>
      <c r="G4" s="54"/>
      <c r="H4" s="54"/>
      <c r="I4" s="57"/>
      <c r="J4" s="57"/>
      <c r="K4" s="57"/>
      <c r="L4" s="54"/>
    </row>
    <row r="5" customFormat="false" ht="14.25" hidden="false" customHeight="false" outlineLevel="0" collapsed="false">
      <c r="A5" s="65" t="n">
        <f aca="false">B4</f>
        <v>370500</v>
      </c>
      <c r="B5" s="66" t="n">
        <v>512800</v>
      </c>
      <c r="C5" s="67" t="n">
        <v>0.31</v>
      </c>
      <c r="D5" s="66" t="n">
        <f aca="false">E4</f>
        <v>77362</v>
      </c>
      <c r="E5" s="68" t="n">
        <f aca="false">D5+(B5-A5)*C5</f>
        <v>121475</v>
      </c>
      <c r="F5" s="54"/>
      <c r="G5" s="54"/>
      <c r="H5" s="69" t="s">
        <v>134</v>
      </c>
      <c r="I5" s="70" t="n">
        <f aca="false">J5/12</f>
        <v>0</v>
      </c>
      <c r="J5" s="71" t="n">
        <f aca="false">J2*N1</f>
        <v>0</v>
      </c>
      <c r="K5" s="72"/>
      <c r="L5" s="54"/>
    </row>
    <row r="6" customFormat="false" ht="14.25" hidden="false" customHeight="false" outlineLevel="0" collapsed="false">
      <c r="A6" s="65" t="n">
        <f aca="false">B5</f>
        <v>512800</v>
      </c>
      <c r="B6" s="66" t="n">
        <v>673000</v>
      </c>
      <c r="C6" s="67" t="n">
        <v>0.36</v>
      </c>
      <c r="D6" s="66" t="n">
        <f aca="false">E5</f>
        <v>121475</v>
      </c>
      <c r="E6" s="68" t="n">
        <f aca="false">D6+(B6-A6)*C6</f>
        <v>179147</v>
      </c>
      <c r="F6" s="54"/>
      <c r="G6" s="54"/>
      <c r="H6" s="72"/>
      <c r="I6" s="54"/>
      <c r="J6" s="54"/>
      <c r="K6" s="54"/>
      <c r="L6" s="54"/>
    </row>
    <row r="7" customFormat="false" ht="23.85" hidden="false" customHeight="false" outlineLevel="0" collapsed="false">
      <c r="A7" s="65" t="n">
        <f aca="false">B6</f>
        <v>673000</v>
      </c>
      <c r="B7" s="66" t="n">
        <v>857900</v>
      </c>
      <c r="C7" s="67" t="n">
        <v>0.39</v>
      </c>
      <c r="D7" s="66" t="n">
        <f aca="false">E6</f>
        <v>179147</v>
      </c>
      <c r="E7" s="68" t="n">
        <f aca="false">D7+(B7-A7)*C7</f>
        <v>251258</v>
      </c>
      <c r="F7" s="54"/>
      <c r="G7" s="54"/>
      <c r="H7" s="73" t="s">
        <v>135</v>
      </c>
      <c r="I7" s="74" t="n">
        <f aca="false">J7/12</f>
        <v>72500</v>
      </c>
      <c r="J7" s="75" t="n">
        <f aca="false">J2-J5</f>
        <v>870000</v>
      </c>
      <c r="K7" s="76"/>
      <c r="L7" s="54"/>
    </row>
    <row r="8" customFormat="false" ht="14.25" hidden="false" customHeight="false" outlineLevel="0" collapsed="false">
      <c r="A8" s="77" t="n">
        <f aca="false">B7</f>
        <v>857900</v>
      </c>
      <c r="B8" s="78" t="s">
        <v>136</v>
      </c>
      <c r="C8" s="79" t="n">
        <v>0.41</v>
      </c>
      <c r="D8" s="80" t="n">
        <f aca="false">E7</f>
        <v>251258</v>
      </c>
      <c r="E8" s="81" t="n">
        <f aca="false">D8+(B8-A8)*C8</f>
        <v>644489</v>
      </c>
      <c r="F8" s="54"/>
      <c r="G8" s="54"/>
      <c r="H8" s="76"/>
      <c r="I8" s="57"/>
      <c r="J8" s="54"/>
      <c r="K8" s="54"/>
      <c r="L8" s="54"/>
    </row>
    <row r="9" customFormat="false" ht="14.25" hidden="false" customHeight="false" outlineLevel="0" collapsed="false">
      <c r="A9" s="54"/>
      <c r="B9" s="54"/>
      <c r="C9" s="54"/>
      <c r="D9" s="54"/>
      <c r="E9" s="54"/>
      <c r="F9" s="54"/>
      <c r="G9" s="54"/>
      <c r="H9" s="82" t="s">
        <v>137</v>
      </c>
      <c r="I9" s="74" t="n">
        <f aca="false">J9/12</f>
        <v>19350.5833333333</v>
      </c>
      <c r="J9" s="83" t="n">
        <f aca="false">D5+(J7-A5)*C5</f>
        <v>232207</v>
      </c>
      <c r="K9" s="84"/>
      <c r="L9" s="54"/>
    </row>
    <row r="10" customFormat="false" ht="14.25" hidden="false" customHeight="false" outlineLevel="0" collapsed="false">
      <c r="A10" s="54"/>
      <c r="B10" s="54"/>
      <c r="C10" s="54"/>
      <c r="D10" s="54"/>
      <c r="E10" s="54"/>
      <c r="F10" s="54"/>
      <c r="G10" s="54"/>
      <c r="H10" s="84"/>
      <c r="I10" s="54"/>
      <c r="J10" s="54"/>
      <c r="K10" s="54"/>
      <c r="L10" s="54"/>
    </row>
    <row r="11" customFormat="false" ht="44.3" hidden="false" customHeight="true" outlineLevel="0" collapsed="false">
      <c r="A11" s="85" t="s">
        <v>138</v>
      </c>
      <c r="B11" s="85"/>
      <c r="C11" s="85"/>
      <c r="D11" s="85"/>
      <c r="E11" s="85"/>
      <c r="F11" s="54"/>
      <c r="G11" s="54"/>
      <c r="H11" s="86" t="s">
        <v>139</v>
      </c>
      <c r="I11" s="87" t="n">
        <f aca="false">J11/12</f>
        <v>-5007.58333333333</v>
      </c>
      <c r="J11" s="88" t="n">
        <f aca="false">J3-J9</f>
        <v>-60091</v>
      </c>
      <c r="K11" s="89"/>
      <c r="L11" s="54"/>
    </row>
    <row r="12" customFormat="false" ht="14.25" hidden="false" customHeight="false" outlineLevel="0" collapsed="false">
      <c r="A12" s="54"/>
      <c r="B12" s="54" t="s">
        <v>140</v>
      </c>
      <c r="C12" s="54" t="s">
        <v>141</v>
      </c>
      <c r="D12" s="54" t="s">
        <v>142</v>
      </c>
      <c r="E12" s="54"/>
      <c r="F12" s="54"/>
      <c r="G12" s="54"/>
      <c r="H12" s="89"/>
      <c r="I12" s="54"/>
      <c r="J12" s="54"/>
      <c r="K12" s="54"/>
      <c r="L12" s="54"/>
    </row>
    <row r="13" customFormat="false" ht="14.25" hidden="false" customHeight="false" outlineLevel="0" collapsed="false">
      <c r="A13" s="54" t="s">
        <v>143</v>
      </c>
      <c r="B13" s="54" t="n">
        <v>251258</v>
      </c>
      <c r="C13" s="54" t="n">
        <v>0.41</v>
      </c>
      <c r="D13" s="54" t="n">
        <v>857900</v>
      </c>
      <c r="E13" s="54"/>
      <c r="F13" s="54"/>
      <c r="G13" s="54"/>
      <c r="H13" s="54"/>
      <c r="I13" s="54"/>
      <c r="J13" s="54"/>
      <c r="K13" s="54"/>
      <c r="L13" s="54"/>
    </row>
    <row r="14" customFormat="false" ht="14.25" hidden="false" customHeight="false" outlineLevel="0" collapsed="false">
      <c r="A14" s="54"/>
      <c r="B14" s="54"/>
      <c r="C14" s="54"/>
      <c r="D14" s="54"/>
      <c r="E14" s="54"/>
      <c r="F14" s="54"/>
      <c r="G14" s="54"/>
      <c r="H14" s="54" t="s">
        <v>144</v>
      </c>
      <c r="I14" s="57" t="s">
        <v>94</v>
      </c>
      <c r="J14" s="57" t="n">
        <f aca="false">I14*12</f>
        <v>120000</v>
      </c>
      <c r="K14" s="57"/>
      <c r="L14" s="54"/>
    </row>
    <row r="15" customFormat="false" ht="14.25" hidden="false" customHeight="false" outlineLevel="0" collapsed="false">
      <c r="A15" s="54"/>
      <c r="B15" s="54"/>
      <c r="C15" s="54"/>
      <c r="D15" s="54"/>
      <c r="E15" s="54"/>
      <c r="F15" s="54"/>
      <c r="G15" s="54"/>
      <c r="H15" s="54" t="s">
        <v>145</v>
      </c>
      <c r="I15" s="57" t="n">
        <f aca="false">I5-I14</f>
        <v>-10000</v>
      </c>
      <c r="J15" s="57" t="n">
        <f aca="false">I15*12</f>
        <v>-120000</v>
      </c>
      <c r="K15" s="57"/>
      <c r="L15" s="54"/>
      <c r="M15" s="57" t="n">
        <f aca="false">520000/J15</f>
        <v>-4.33333333333333</v>
      </c>
      <c r="JI15" s="54"/>
    </row>
    <row r="16" customFormat="false" ht="14.25" hidden="false" customHeight="false" outlineLevel="0" collapsed="false">
      <c r="A16" s="54" t="s">
        <v>146</v>
      </c>
      <c r="B16" s="90" t="n">
        <v>870000</v>
      </c>
      <c r="C16" s="54"/>
      <c r="D16" s="90" t="n">
        <f aca="false">B16*0.27</f>
        <v>234900</v>
      </c>
      <c r="E16" s="54"/>
      <c r="F16" s="54"/>
      <c r="G16" s="54"/>
      <c r="H16" s="54" t="s">
        <v>139</v>
      </c>
      <c r="I16" s="57" t="n">
        <f aca="false">I11</f>
        <v>-5007.58333333333</v>
      </c>
      <c r="J16" s="57" t="n">
        <f aca="false">I16*12</f>
        <v>-60091</v>
      </c>
      <c r="K16" s="57"/>
      <c r="L16" s="54"/>
    </row>
    <row r="17" customFormat="false" ht="14.25" hidden="false" customHeight="false" outlineLevel="0" collapsed="false">
      <c r="A17" s="54" t="s">
        <v>133</v>
      </c>
      <c r="B17" s="90" t="n">
        <f aca="false">(B16-D13)*C13+B13</f>
        <v>256219</v>
      </c>
      <c r="C17" s="54"/>
      <c r="D17" s="90" t="n">
        <f aca="false">D16/12</f>
        <v>19575</v>
      </c>
      <c r="E17" s="54"/>
      <c r="F17" s="54"/>
      <c r="G17" s="54"/>
      <c r="H17" s="54" t="s">
        <v>147</v>
      </c>
      <c r="I17" s="57" t="n">
        <f aca="false">SUM(I14:I16)</f>
        <v>-15007.5833333333</v>
      </c>
      <c r="J17" s="57" t="n">
        <f aca="false">I17*12</f>
        <v>-180091</v>
      </c>
      <c r="K17" s="57"/>
      <c r="L17" s="54"/>
    </row>
    <row r="18" customFormat="false" ht="14.25" hidden="false" customHeight="false" outlineLevel="0" collapsed="false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</row>
    <row r="19" customFormat="false" ht="14.25" hidden="false" customHeight="false" outlineLevel="0" collapsed="false">
      <c r="A19" s="54" t="s">
        <v>148</v>
      </c>
      <c r="B19" s="90" t="n">
        <f aca="false">B16-B17</f>
        <v>613781</v>
      </c>
      <c r="C19" s="54"/>
      <c r="D19" s="54"/>
      <c r="E19" s="54"/>
      <c r="F19" s="54"/>
      <c r="G19" s="54" t="s">
        <v>149</v>
      </c>
      <c r="H19" s="54" t="s">
        <v>144</v>
      </c>
      <c r="I19" s="57" t="s">
        <v>94</v>
      </c>
      <c r="J19" s="57" t="n">
        <f aca="false">I19*12</f>
        <v>120000</v>
      </c>
      <c r="K19" s="57"/>
      <c r="L19" s="54"/>
    </row>
    <row r="20" customFormat="false" ht="14.25" hidden="false" customHeight="false" outlineLevel="0" collapsed="false">
      <c r="A20" s="54"/>
      <c r="B20" s="54"/>
      <c r="C20" s="54"/>
      <c r="D20" s="54"/>
      <c r="E20" s="54"/>
      <c r="F20" s="54"/>
      <c r="G20" s="54"/>
      <c r="H20" s="54" t="s">
        <v>145</v>
      </c>
      <c r="I20" s="57" t="n">
        <f aca="false">I5-I19</f>
        <v>-10000</v>
      </c>
      <c r="J20" s="57" t="n">
        <f aca="false">I20*12</f>
        <v>-120000</v>
      </c>
      <c r="K20" s="57"/>
      <c r="L20" s="54"/>
    </row>
    <row r="21" customFormat="false" ht="14.25" hidden="false" customHeight="false" outlineLevel="0" collapsed="false">
      <c r="A21" s="54"/>
      <c r="B21" s="54"/>
      <c r="C21" s="54"/>
      <c r="D21" s="54"/>
      <c r="E21" s="54"/>
      <c r="F21" s="54"/>
      <c r="G21" s="54"/>
      <c r="H21" s="54" t="s">
        <v>139</v>
      </c>
      <c r="I21" s="57" t="n">
        <f aca="false">I16</f>
        <v>-5007.58333333333</v>
      </c>
      <c r="J21" s="57" t="n">
        <f aca="false">I21*12</f>
        <v>-60091</v>
      </c>
      <c r="K21" s="57"/>
      <c r="L21" s="54"/>
    </row>
    <row r="22" customFormat="false" ht="14.25" hidden="false" customHeight="false" outlineLevel="0" collapsed="false">
      <c r="A22" s="54"/>
      <c r="B22" s="54"/>
      <c r="C22" s="54"/>
      <c r="D22" s="54"/>
      <c r="E22" s="54"/>
      <c r="F22" s="54"/>
      <c r="G22" s="54"/>
      <c r="H22" s="54" t="s">
        <v>150</v>
      </c>
      <c r="I22" s="57" t="n">
        <f aca="false">I20-I21</f>
        <v>-4992.41666666667</v>
      </c>
      <c r="J22" s="57" t="n">
        <f aca="false">I22*12</f>
        <v>-59909</v>
      </c>
      <c r="K22" s="57"/>
      <c r="L22" s="54"/>
      <c r="M22" s="57" t="n">
        <f aca="false">520000/J22</f>
        <v>-8.67983107713365</v>
      </c>
    </row>
    <row r="23" customFormat="false" ht="14.25" hidden="false" customHeight="false" outlineLevel="0" collapsed="false">
      <c r="A23" s="54"/>
      <c r="B23" s="54" t="s">
        <v>151</v>
      </c>
      <c r="C23" s="54"/>
      <c r="D23" s="54"/>
      <c r="E23" s="54"/>
      <c r="F23" s="54"/>
      <c r="G23" s="54"/>
      <c r="H23" s="54" t="s">
        <v>147</v>
      </c>
      <c r="I23" s="57" t="n">
        <f aca="false">I19+SUM(I21:I22)</f>
        <v>0</v>
      </c>
      <c r="J23" s="57" t="n">
        <f aca="false">I23*12</f>
        <v>0</v>
      </c>
      <c r="K23" s="57"/>
      <c r="L23" s="54"/>
    </row>
    <row r="24" customFormat="false" ht="14.25" hidden="false" customHeight="false" outlineLevel="0" collapsed="false">
      <c r="A24" s="54" t="s">
        <v>152</v>
      </c>
      <c r="B24" s="54" t="n">
        <v>3000</v>
      </c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customFormat="false" ht="14.25" hidden="false" customHeight="false" outlineLevel="0" collapsed="false">
      <c r="A25" s="54" t="s">
        <v>153</v>
      </c>
      <c r="B25" s="54" t="n">
        <v>8000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</row>
    <row r="26" customFormat="false" ht="14.25" hidden="false" customHeight="false" outlineLevel="0" collapsed="false">
      <c r="A26" s="54" t="s">
        <v>99</v>
      </c>
      <c r="B26" s="54" t="n">
        <v>16000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</row>
    <row r="27" customFormat="false" ht="14.25" hidden="false" customHeight="false" outlineLevel="0" collapsed="false">
      <c r="A27" s="54" t="s">
        <v>154</v>
      </c>
      <c r="B27" s="54" t="n">
        <v>8000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</row>
    <row r="28" customFormat="false" ht="14.25" hidden="false" customHeight="false" outlineLevel="0" collapsed="false">
      <c r="A28" s="54" t="s">
        <v>155</v>
      </c>
      <c r="B28" s="54" t="n">
        <v>3600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</row>
    <row r="29" customFormat="false" ht="14.25" hidden="false" customHeight="false" outlineLevel="0" collapsed="false">
      <c r="A29" s="54" t="s">
        <v>156</v>
      </c>
      <c r="B29" s="54" t="n">
        <v>12000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</row>
    <row r="30" customFormat="false" ht="14.25" hidden="false" customHeight="false" outlineLevel="0" collapsed="false">
      <c r="A30" s="54" t="s">
        <v>157</v>
      </c>
      <c r="B30" s="54" t="n">
        <v>5500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</row>
    <row r="31" customFormat="false" ht="14.25" hidden="false" customHeight="false" outlineLevel="0" collapsed="false">
      <c r="A31" s="54" t="s">
        <v>102</v>
      </c>
      <c r="B31" s="54" t="n">
        <v>1700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</row>
    <row r="32" customFormat="false" ht="14.25" hidden="false" customHeight="false" outlineLevel="0" collapsed="false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</row>
    <row r="33" customFormat="false" ht="14.25" hidden="false" customHeight="false" outlineLevel="0" collapsed="false">
      <c r="A33" s="54" t="s">
        <v>158</v>
      </c>
      <c r="B33" s="54" t="n">
        <f aca="false">B29+B25+B24</f>
        <v>23000</v>
      </c>
      <c r="C33" s="54" t="n">
        <f aca="false">B33*12</f>
        <v>276000</v>
      </c>
      <c r="D33" s="54"/>
      <c r="E33" s="54"/>
      <c r="F33" s="54"/>
      <c r="G33" s="54"/>
      <c r="H33" s="54"/>
      <c r="I33" s="54"/>
      <c r="J33" s="54"/>
      <c r="K33" s="54"/>
      <c r="L33" s="54"/>
    </row>
    <row r="34" customFormat="false" ht="14.25" hidden="false" customHeight="false" outlineLevel="0" collapsed="false">
      <c r="A34" s="54" t="s">
        <v>38</v>
      </c>
      <c r="B34" s="54" t="n">
        <f aca="false">SUM(B24:B32)</f>
        <v>57800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</row>
    <row r="35" customFormat="false" ht="14.25" hidden="false" customHeight="false" outlineLevel="0" collapsed="false">
      <c r="A35" s="54" t="s">
        <v>146</v>
      </c>
      <c r="B35" s="54" t="n">
        <v>56500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customFormat="false" ht="14.25" hidden="false" customHeight="false" outlineLevel="0" collapsed="false">
      <c r="A36" s="54"/>
      <c r="B36" s="91" t="n">
        <f aca="false">B35-B34</f>
        <v>-1300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</row>
    <row r="37" customFormat="false" ht="14.25" hidden="false" customHeight="false" outlineLevel="0" collapsed="false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</row>
    <row r="38" customFormat="false" ht="14.25" hidden="false" customHeight="false" outlineLevel="0" collapsed="false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</row>
    <row r="39" customFormat="false" ht="14.25" hidden="false" customHeight="false" outlineLevel="0" collapsed="false">
      <c r="A39" s="54"/>
      <c r="B39" s="92" t="n">
        <v>238984</v>
      </c>
      <c r="C39" s="93" t="s">
        <v>159</v>
      </c>
      <c r="D39" s="54" t="n">
        <f aca="false">B39-C39</f>
        <v>27542</v>
      </c>
      <c r="E39" s="54"/>
      <c r="F39" s="54"/>
      <c r="G39" s="54"/>
      <c r="H39" s="54"/>
      <c r="I39" s="54"/>
      <c r="K39" s="54"/>
      <c r="L39" s="54"/>
    </row>
    <row r="40" customFormat="false" ht="14.25" hidden="false" customHeight="false" outlineLevel="0" collapsed="false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</row>
    <row r="41" customFormat="false" ht="14.25" hidden="false" customHeight="false" outlineLevel="0" collapsed="false">
      <c r="A41" s="54" t="s">
        <v>160</v>
      </c>
      <c r="B41" s="54" t="s">
        <v>161</v>
      </c>
      <c r="C41" s="54"/>
      <c r="D41" s="54" t="s">
        <v>162</v>
      </c>
      <c r="E41" s="54"/>
      <c r="F41" s="54" t="s">
        <v>163</v>
      </c>
      <c r="G41" s="54" t="s">
        <v>164</v>
      </c>
      <c r="H41" s="54" t="s">
        <v>160</v>
      </c>
      <c r="I41" s="54"/>
      <c r="J41" s="54" t="s">
        <v>153</v>
      </c>
      <c r="K41" s="54" t="s">
        <v>161</v>
      </c>
      <c r="L41" s="54"/>
      <c r="M41" s="54" t="s">
        <v>156</v>
      </c>
      <c r="N41" s="54" t="s">
        <v>38</v>
      </c>
    </row>
    <row r="42" customFormat="false" ht="14.25" hidden="false" customHeight="false" outlineLevel="0" collapsed="false">
      <c r="A42" s="90" t="n">
        <v>6000</v>
      </c>
      <c r="B42" s="90" t="n">
        <f aca="false">A42*12</f>
        <v>72000</v>
      </c>
      <c r="C42" s="90"/>
      <c r="D42" s="90" t="n">
        <f aca="false">0.39*B42</f>
        <v>28080</v>
      </c>
      <c r="E42" s="90"/>
      <c r="F42" s="90" t="n">
        <f aca="false">B42*0.1</f>
        <v>7200</v>
      </c>
      <c r="G42" s="90" t="n">
        <f aca="false">D42-F42</f>
        <v>20880</v>
      </c>
      <c r="H42" s="90" t="n">
        <f aca="false">G42/12</f>
        <v>1740</v>
      </c>
      <c r="I42" s="54"/>
      <c r="J42" s="90" t="n">
        <f aca="false">22000-A42</f>
        <v>16000</v>
      </c>
      <c r="K42" s="90" t="n">
        <f aca="false">J42*12+G42</f>
        <v>212880</v>
      </c>
      <c r="L42" s="90" t="n">
        <f aca="false">K42/12</f>
        <v>17740</v>
      </c>
      <c r="M42" s="90" t="n">
        <f aca="false">B42</f>
        <v>72000</v>
      </c>
      <c r="N42" s="90" t="n">
        <f aca="false">K42+M42</f>
        <v>284880</v>
      </c>
    </row>
    <row r="43" customFormat="false" ht="14.25" hidden="false" customHeight="false" outlineLevel="0" collapsed="false">
      <c r="A43" s="90" t="n">
        <v>10000</v>
      </c>
      <c r="B43" s="90" t="n">
        <f aca="false">A43*12</f>
        <v>120000</v>
      </c>
      <c r="C43" s="90"/>
      <c r="D43" s="90" t="n">
        <f aca="false">0.39*B43</f>
        <v>46800</v>
      </c>
      <c r="E43" s="90"/>
      <c r="F43" s="90" t="n">
        <f aca="false">B43*0.1</f>
        <v>12000</v>
      </c>
      <c r="G43" s="90" t="n">
        <f aca="false">D43-F43</f>
        <v>34800</v>
      </c>
      <c r="H43" s="90" t="n">
        <f aca="false">G43/12</f>
        <v>2900</v>
      </c>
      <c r="I43" s="54"/>
      <c r="J43" s="90" t="n">
        <f aca="false">22000-A43</f>
        <v>12000</v>
      </c>
      <c r="K43" s="90" t="n">
        <f aca="false">J43*12+G43</f>
        <v>178800</v>
      </c>
      <c r="L43" s="90" t="n">
        <f aca="false">K43/12</f>
        <v>14900</v>
      </c>
      <c r="M43" s="90" t="n">
        <f aca="false">B43</f>
        <v>120000</v>
      </c>
      <c r="N43" s="90" t="n">
        <f aca="false">K43+M43</f>
        <v>298800</v>
      </c>
    </row>
    <row r="44" customFormat="false" ht="14.25" hidden="false" customHeight="false" outlineLevel="0" collapsed="false">
      <c r="A44" s="90" t="n">
        <v>12000</v>
      </c>
      <c r="B44" s="90" t="n">
        <f aca="false">A44*12</f>
        <v>144000</v>
      </c>
      <c r="C44" s="90"/>
      <c r="D44" s="90" t="n">
        <f aca="false">0.39*B44</f>
        <v>56160</v>
      </c>
      <c r="E44" s="90"/>
      <c r="F44" s="90" t="n">
        <f aca="false">B44*0.1</f>
        <v>14400</v>
      </c>
      <c r="G44" s="90" t="n">
        <f aca="false">D44-F44</f>
        <v>41760</v>
      </c>
      <c r="H44" s="90" t="n">
        <f aca="false">G44/12</f>
        <v>3480</v>
      </c>
      <c r="I44" s="54"/>
      <c r="J44" s="90" t="n">
        <f aca="false">22000-A44</f>
        <v>10000</v>
      </c>
      <c r="K44" s="90" t="n">
        <f aca="false">J44*12+G44</f>
        <v>161760</v>
      </c>
      <c r="L44" s="90" t="n">
        <f aca="false">K44/12</f>
        <v>13480</v>
      </c>
      <c r="M44" s="90" t="n">
        <f aca="false">B44</f>
        <v>144000</v>
      </c>
      <c r="N44" s="90" t="n">
        <f aca="false">K44+M44</f>
        <v>305760</v>
      </c>
    </row>
    <row r="45" customFormat="false" ht="14.25" hidden="false" customHeight="false" outlineLevel="0" collapsed="false">
      <c r="A45" s="90" t="n">
        <v>19000</v>
      </c>
      <c r="B45" s="90" t="n">
        <f aca="false">A45*12</f>
        <v>228000</v>
      </c>
      <c r="C45" s="90"/>
      <c r="D45" s="90" t="n">
        <f aca="false">0.39*B45</f>
        <v>88920</v>
      </c>
      <c r="E45" s="90"/>
      <c r="F45" s="90" t="n">
        <f aca="false">B45*0.1</f>
        <v>22800</v>
      </c>
      <c r="G45" s="90" t="n">
        <f aca="false">D45-F45</f>
        <v>66120</v>
      </c>
      <c r="H45" s="90" t="n">
        <f aca="false">G45/12</f>
        <v>5510</v>
      </c>
      <c r="I45" s="54"/>
      <c r="J45" s="90" t="n">
        <f aca="false">22000-A45</f>
        <v>3000</v>
      </c>
      <c r="K45" s="90" t="n">
        <f aca="false">J45*12+G45</f>
        <v>102120</v>
      </c>
      <c r="L45" s="90" t="n">
        <f aca="false">K45/12</f>
        <v>8510</v>
      </c>
      <c r="M45" s="90" t="n">
        <f aca="false">B45</f>
        <v>228000</v>
      </c>
      <c r="N45" s="90" t="n">
        <f aca="false">K45+M45</f>
        <v>330120</v>
      </c>
    </row>
    <row r="46" customFormat="false" ht="14.25" hidden="false" customHeight="false" outlineLevel="0" collapsed="false">
      <c r="A46" s="90"/>
      <c r="B46" s="90" t="n">
        <f aca="false">A46*12</f>
        <v>0</v>
      </c>
      <c r="C46" s="90"/>
      <c r="D46" s="90" t="n">
        <f aca="false">0.39*B46</f>
        <v>0</v>
      </c>
      <c r="E46" s="90"/>
      <c r="F46" s="90" t="n">
        <f aca="false">B46*0.1</f>
        <v>0</v>
      </c>
      <c r="G46" s="90" t="n">
        <f aca="false">D46-F46</f>
        <v>0</v>
      </c>
      <c r="H46" s="90" t="n">
        <f aca="false">G46/12</f>
        <v>0</v>
      </c>
      <c r="I46" s="54"/>
      <c r="J46" s="90" t="n">
        <f aca="false">22000-A46</f>
        <v>22000</v>
      </c>
      <c r="K46" s="90" t="n">
        <f aca="false">J46*12+G46</f>
        <v>264000</v>
      </c>
      <c r="L46" s="90" t="n">
        <f aca="false">K46/12</f>
        <v>22000</v>
      </c>
      <c r="M46" s="90" t="n">
        <f aca="false">B46</f>
        <v>0</v>
      </c>
      <c r="N46" s="90" t="n">
        <f aca="false">K46+M46</f>
        <v>264000</v>
      </c>
    </row>
    <row r="47" customFormat="false" ht="14.25" hidden="false" customHeight="false" outlineLevel="0" collapsed="false">
      <c r="A47" s="90"/>
      <c r="B47" s="90" t="n">
        <f aca="false">A47*12</f>
        <v>0</v>
      </c>
      <c r="C47" s="90"/>
      <c r="D47" s="90" t="n">
        <f aca="false">0.39*B47</f>
        <v>0</v>
      </c>
      <c r="E47" s="90"/>
      <c r="F47" s="90" t="n">
        <f aca="false">B47*0.1</f>
        <v>0</v>
      </c>
      <c r="G47" s="90" t="n">
        <f aca="false">D47-F47</f>
        <v>0</v>
      </c>
      <c r="H47" s="90" t="n">
        <f aca="false">G47/12</f>
        <v>0</v>
      </c>
      <c r="I47" s="54"/>
      <c r="J47" s="90" t="n">
        <f aca="false">22000-A47</f>
        <v>22000</v>
      </c>
      <c r="K47" s="90" t="n">
        <f aca="false">J47*12+G47</f>
        <v>264000</v>
      </c>
      <c r="L47" s="90" t="n">
        <f aca="false">K47/12</f>
        <v>22000</v>
      </c>
      <c r="M47" s="90" t="n">
        <f aca="false">B47</f>
        <v>0</v>
      </c>
      <c r="N47" s="90" t="n">
        <f aca="false">K47+M47</f>
        <v>264000</v>
      </c>
    </row>
    <row r="48" customFormat="false" ht="14.25" hidden="false" customHeight="false" outlineLevel="0" collapsed="false">
      <c r="A48" s="90"/>
      <c r="B48" s="90" t="n">
        <f aca="false">A48*12</f>
        <v>0</v>
      </c>
      <c r="C48" s="90"/>
      <c r="D48" s="90" t="n">
        <f aca="false">0.39*B48</f>
        <v>0</v>
      </c>
      <c r="E48" s="90"/>
      <c r="F48" s="90" t="n">
        <f aca="false">B48*0.1</f>
        <v>0</v>
      </c>
      <c r="G48" s="90" t="n">
        <f aca="false">D48-F48</f>
        <v>0</v>
      </c>
      <c r="H48" s="90" t="n">
        <f aca="false">G48/12</f>
        <v>0</v>
      </c>
      <c r="I48" s="54"/>
      <c r="J48" s="90" t="n">
        <f aca="false">22000-A48</f>
        <v>22000</v>
      </c>
      <c r="K48" s="90" t="n">
        <f aca="false">J48*12+G48</f>
        <v>264000</v>
      </c>
      <c r="L48" s="90" t="n">
        <f aca="false">K48/12</f>
        <v>22000</v>
      </c>
      <c r="M48" s="90" t="n">
        <f aca="false">B48</f>
        <v>0</v>
      </c>
      <c r="N48" s="90" t="n">
        <f aca="false">K48+M48</f>
        <v>264000</v>
      </c>
    </row>
    <row r="49" customFormat="false" ht="14.25" hidden="false" customHeight="false" outlineLevel="0" collapsed="false">
      <c r="A49" s="54"/>
      <c r="B49" s="54" t="n">
        <f aca="false">A49*12</f>
        <v>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</row>
    <row r="50" customFormat="false" ht="15" hidden="false" customHeight="false" outlineLevel="0" collapsed="false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</row>
    <row r="51" customFormat="false" ht="15" hidden="false" customHeight="false" outlineLevel="0" collapsed="false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</row>
    <row r="52" customFormat="false" ht="15" hidden="false" customHeight="false" outlineLevel="0" collapsed="false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</row>
    <row r="53" customFormat="false" ht="15" hidden="false" customHeight="false" outlineLevel="0" collapsed="false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</row>
    <row r="54" customFormat="false" ht="15" hidden="false" customHeight="false" outlineLevel="0" collapsed="false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</row>
    <row r="55" customFormat="false" ht="15" hidden="false" customHeight="false" outlineLevel="0" collapsed="false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</row>
    <row r="56" customFormat="false" ht="15" hidden="false" customHeight="false" outlineLevel="0" collapsed="false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</row>
    <row r="57" customFormat="false" ht="15" hidden="false" customHeight="false" outlineLevel="0" collapsed="false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</row>
    <row r="58" customFormat="false" ht="15" hidden="false" customHeight="false" outlineLevel="0" collapsed="false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</row>
    <row r="59" customFormat="false" ht="15" hidden="false" customHeight="false" outlineLevel="0" collapsed="false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</row>
    <row r="60" customFormat="false" ht="15" hidden="false" customHeight="false" outlineLevel="0" collapsed="false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</row>
    <row r="61" customFormat="false" ht="15" hidden="false" customHeight="false" outlineLevel="0" collapsed="false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</row>
    <row r="62" customFormat="false" ht="15" hidden="false" customHeight="false" outlineLevel="0" collapsed="false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</row>
    <row r="63" customFormat="false" ht="15" hidden="false" customHeight="false" outlineLevel="0" collapsed="false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</row>
    <row r="64" customFormat="false" ht="15" hidden="false" customHeight="false" outlineLevel="0" collapsed="false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</row>
    <row r="65" customFormat="false" ht="15" hidden="false" customHeight="false" outlineLevel="0" collapsed="false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</row>
    <row r="66" customFormat="false" ht="15" hidden="false" customHeight="false" outlineLevel="0" collapsed="false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</row>
    <row r="67" customFormat="false" ht="15" hidden="false" customHeight="false" outlineLevel="0" collapsed="false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</row>
    <row r="68" customFormat="false" ht="15" hidden="false" customHeight="false" outlineLevel="0" collapsed="false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</row>
    <row r="69" customFormat="false" ht="15" hidden="false" customHeight="false" outlineLevel="0" collapsed="false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</row>
    <row r="70" customFormat="false" ht="15" hidden="false" customHeight="false" outlineLevel="0" collapsed="false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</row>
    <row r="71" customFormat="false" ht="15" hidden="false" customHeight="false" outlineLevel="0" collapsed="false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</row>
    <row r="72" customFormat="false" ht="15" hidden="false" customHeight="false" outlineLevel="0" collapsed="false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</row>
    <row r="73" customFormat="false" ht="15" hidden="false" customHeight="false" outlineLevel="0" collapsed="false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</row>
    <row r="74" customFormat="false" ht="15" hidden="false" customHeight="false" outlineLevel="0" collapsed="false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</row>
    <row r="75" customFormat="false" ht="15" hidden="false" customHeight="false" outlineLevel="0" collapsed="false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</row>
    <row r="76" customFormat="false" ht="15" hidden="false" customHeight="false" outlineLevel="0" collapsed="false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</row>
    <row r="77" customFormat="false" ht="15" hidden="false" customHeight="false" outlineLevel="0" collapsed="false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</row>
    <row r="78" customFormat="false" ht="15" hidden="false" customHeight="false" outlineLevel="0" collapsed="false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</row>
    <row r="79" customFormat="false" ht="15" hidden="false" customHeight="false" outlineLevel="0" collapsed="false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</row>
    <row r="80" customFormat="false" ht="15" hidden="false" customHeight="false" outlineLevel="0" collapsed="false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</row>
    <row r="81" customFormat="false" ht="15" hidden="false" customHeight="false" outlineLevel="0" collapsed="false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</row>
    <row r="82" customFormat="false" ht="15" hidden="false" customHeight="false" outlineLevel="0" collapsed="false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</row>
    <row r="83" customFormat="false" ht="15" hidden="false" customHeight="false" outlineLevel="0" collapsed="false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</row>
    <row r="84" customFormat="false" ht="15" hidden="false" customHeight="false" outlineLevel="0" collapsed="false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</row>
    <row r="85" customFormat="false" ht="15" hidden="false" customHeight="false" outlineLevel="0" collapsed="false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</row>
    <row r="86" customFormat="false" ht="15" hidden="false" customHeight="false" outlineLevel="0" collapsed="false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</row>
    <row r="87" customFormat="false" ht="15" hidden="false" customHeight="false" outlineLevel="0" collapsed="false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</row>
    <row r="88" customFormat="false" ht="15" hidden="false" customHeight="false" outlineLevel="0" collapsed="false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</row>
    <row r="89" customFormat="false" ht="15" hidden="false" customHeight="false" outlineLevel="0" collapsed="false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</row>
    <row r="90" customFormat="false" ht="15" hidden="false" customHeight="false" outlineLevel="0" collapsed="false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</row>
    <row r="91" customFormat="false" ht="15" hidden="false" customHeight="false" outlineLevel="0" collapsed="false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</row>
    <row r="92" customFormat="false" ht="15" hidden="false" customHeight="false" outlineLevel="0" collapsed="false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</row>
    <row r="93" customFormat="false" ht="15" hidden="false" customHeight="false" outlineLevel="0" collapsed="false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</row>
    <row r="94" customFormat="false" ht="15" hidden="false" customHeight="false" outlineLevel="0" collapsed="false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</row>
    <row r="95" customFormat="false" ht="15" hidden="false" customHeight="false" outlineLevel="0" collapsed="false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</row>
    <row r="96" customFormat="false" ht="15" hidden="false" customHeight="false" outlineLevel="0" collapsed="false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</row>
    <row r="97" customFormat="false" ht="15" hidden="false" customHeight="false" outlineLevel="0" collapsed="false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</row>
    <row r="98" customFormat="false" ht="15" hidden="false" customHeight="false" outlineLevel="0" collapsed="false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</row>
    <row r="99" customFormat="false" ht="15" hidden="false" customHeight="false" outlineLevel="0" collapsed="false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</row>
    <row r="100" customFormat="false" ht="15" hidden="false" customHeight="false" outlineLevel="0" collapsed="false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</row>
    <row r="101" customFormat="false" ht="15" hidden="false" customHeight="false" outlineLevel="0" collapsed="false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</row>
    <row r="102" customFormat="false" ht="15" hidden="false" customHeight="false" outlineLevel="0" collapsed="false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</row>
    <row r="103" customFormat="false" ht="15" hidden="false" customHeight="false" outlineLevel="0" collapsed="false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</row>
    <row r="104" customFormat="false" ht="15" hidden="false" customHeight="false" outlineLevel="0" collapsed="false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</row>
    <row r="105" customFormat="false" ht="15" hidden="false" customHeight="false" outlineLevel="0" collapsed="false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</row>
    <row r="106" customFormat="false" ht="15" hidden="false" customHeight="false" outlineLevel="0" collapsed="false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</row>
    <row r="107" customFormat="false" ht="15" hidden="false" customHeight="false" outlineLevel="0" collapsed="false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</row>
    <row r="108" customFormat="false" ht="15" hidden="false" customHeight="false" outlineLevel="0" collapsed="false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</row>
    <row r="109" customFormat="false" ht="15" hidden="false" customHeight="false" outlineLevel="0" collapsed="false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</row>
    <row r="110" customFormat="false" ht="15" hidden="false" customHeight="false" outlineLevel="0" collapsed="false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</row>
    <row r="111" customFormat="false" ht="15" hidden="false" customHeight="false" outlineLevel="0" collapsed="false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</row>
    <row r="112" customFormat="false" ht="15" hidden="false" customHeight="false" outlineLevel="0" collapsed="false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</row>
    <row r="113" customFormat="false" ht="15" hidden="false" customHeight="false" outlineLevel="0" collapsed="false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</row>
    <row r="114" customFormat="false" ht="15" hidden="false" customHeight="false" outlineLevel="0" collapsed="false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</row>
    <row r="115" customFormat="false" ht="15" hidden="false" customHeight="false" outlineLevel="0" collapsed="false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</row>
    <row r="116" customFormat="false" ht="15" hidden="false" customHeight="false" outlineLevel="0" collapsed="false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</row>
    <row r="117" customFormat="false" ht="15" hidden="false" customHeight="false" outlineLevel="0" collapsed="false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</row>
    <row r="118" customFormat="false" ht="15" hidden="false" customHeight="false" outlineLevel="0" collapsed="false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</row>
    <row r="119" customFormat="false" ht="15" hidden="false" customHeight="false" outlineLevel="0" collapsed="false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</row>
    <row r="120" customFormat="false" ht="15" hidden="false" customHeight="false" outlineLevel="0" collapsed="false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</row>
    <row r="121" customFormat="false" ht="15" hidden="false" customHeight="false" outlineLevel="0" collapsed="false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</row>
    <row r="122" customFormat="false" ht="15" hidden="false" customHeight="false" outlineLevel="0" collapsed="false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</row>
    <row r="123" customFormat="false" ht="15" hidden="false" customHeight="false" outlineLevel="0" collapsed="false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</row>
    <row r="124" customFormat="false" ht="15" hidden="false" customHeight="false" outlineLevel="0" collapsed="false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</row>
    <row r="125" customFormat="false" ht="15" hidden="false" customHeight="false" outlineLevel="0" collapsed="false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</row>
    <row r="126" customFormat="false" ht="15" hidden="false" customHeight="false" outlineLevel="0" collapsed="false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</row>
    <row r="127" customFormat="false" ht="15" hidden="false" customHeight="false" outlineLevel="0" collapsed="false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</row>
    <row r="128" customFormat="false" ht="15" hidden="false" customHeight="false" outlineLevel="0" collapsed="false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</row>
    <row r="129" customFormat="false" ht="15" hidden="false" customHeight="false" outlineLevel="0" collapsed="false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</row>
    <row r="130" customFormat="false" ht="15" hidden="false" customHeight="false" outlineLevel="0" collapsed="false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</row>
    <row r="131" customFormat="false" ht="15" hidden="false" customHeight="false" outlineLevel="0" collapsed="false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</row>
    <row r="132" customFormat="false" ht="15" hidden="false" customHeight="false" outlineLevel="0" collapsed="false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</row>
    <row r="133" customFormat="false" ht="15" hidden="false" customHeight="false" outlineLevel="0" collapsed="false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</row>
    <row r="134" customFormat="false" ht="15" hidden="false" customHeight="false" outlineLevel="0" collapsed="false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</row>
    <row r="135" customFormat="false" ht="15" hidden="false" customHeight="false" outlineLevel="0" collapsed="false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</row>
    <row r="136" customFormat="false" ht="15" hidden="false" customHeight="false" outlineLevel="0" collapsed="false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</row>
    <row r="137" customFormat="false" ht="15" hidden="false" customHeight="false" outlineLevel="0" collapsed="false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</row>
    <row r="138" customFormat="false" ht="15" hidden="false" customHeight="false" outlineLevel="0" collapsed="false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</row>
    <row r="139" customFormat="false" ht="15" hidden="false" customHeight="false" outlineLevel="0" collapsed="false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</row>
    <row r="140" customFormat="false" ht="15" hidden="false" customHeight="false" outlineLevel="0" collapsed="false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</row>
    <row r="141" customFormat="false" ht="15" hidden="false" customHeight="false" outlineLevel="0" collapsed="false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</row>
    <row r="142" customFormat="false" ht="15" hidden="false" customHeight="false" outlineLevel="0" collapsed="false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</row>
    <row r="143" customFormat="false" ht="15" hidden="false" customHeight="false" outlineLevel="0" collapsed="false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</row>
    <row r="144" customFormat="false" ht="15" hidden="false" customHeight="false" outlineLevel="0" collapsed="false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</row>
    <row r="145" customFormat="false" ht="15" hidden="false" customHeight="false" outlineLevel="0" collapsed="false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</row>
    <row r="146" customFormat="false" ht="15" hidden="false" customHeight="false" outlineLevel="0" collapsed="false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</row>
    <row r="147" customFormat="false" ht="15" hidden="false" customHeight="false" outlineLevel="0" collapsed="false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</row>
    <row r="148" customFormat="false" ht="15" hidden="false" customHeight="false" outlineLevel="0" collapsed="false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</row>
    <row r="149" customFormat="false" ht="15" hidden="false" customHeight="false" outlineLevel="0" collapsed="false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</row>
    <row r="150" customFormat="false" ht="15" hidden="false" customHeight="false" outlineLevel="0" collapsed="false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</row>
    <row r="151" customFormat="false" ht="15" hidden="false" customHeight="false" outlineLevel="0" collapsed="false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</row>
    <row r="152" customFormat="false" ht="15" hidden="false" customHeight="false" outlineLevel="0" collapsed="false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</row>
    <row r="153" customFormat="false" ht="15" hidden="false" customHeight="false" outlineLevel="0" collapsed="false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</row>
    <row r="154" customFormat="false" ht="15" hidden="false" customHeight="false" outlineLevel="0" collapsed="false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</row>
    <row r="155" customFormat="false" ht="15" hidden="false" customHeight="false" outlineLevel="0" collapsed="false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</row>
    <row r="156" customFormat="false" ht="15" hidden="false" customHeight="false" outlineLevel="0" collapsed="false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</row>
    <row r="157" customFormat="false" ht="15" hidden="false" customHeight="false" outlineLevel="0" collapsed="false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</row>
    <row r="158" customFormat="false" ht="15" hidden="false" customHeight="false" outlineLevel="0" collapsed="false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</row>
    <row r="159" customFormat="false" ht="15" hidden="false" customHeight="false" outlineLevel="0" collapsed="false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</row>
    <row r="160" customFormat="false" ht="15" hidden="false" customHeight="false" outlineLevel="0" collapsed="false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</row>
    <row r="161" customFormat="false" ht="15" hidden="false" customHeight="false" outlineLevel="0" collapsed="false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</row>
    <row r="162" customFormat="false" ht="15" hidden="false" customHeight="false" outlineLevel="0" collapsed="false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</row>
    <row r="163" customFormat="false" ht="15" hidden="false" customHeight="false" outlineLevel="0" collapsed="false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</row>
    <row r="164" customFormat="false" ht="15" hidden="false" customHeight="false" outlineLevel="0" collapsed="false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</row>
    <row r="165" customFormat="false" ht="15" hidden="false" customHeight="false" outlineLevel="0" collapsed="false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</row>
    <row r="166" customFormat="false" ht="15" hidden="false" customHeight="false" outlineLevel="0" collapsed="false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</row>
    <row r="167" customFormat="false" ht="15" hidden="false" customHeight="false" outlineLevel="0" collapsed="false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</row>
    <row r="168" customFormat="false" ht="15" hidden="false" customHeight="false" outlineLevel="0" collapsed="false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</row>
    <row r="169" customFormat="false" ht="15" hidden="false" customHeight="false" outlineLevel="0" collapsed="false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</row>
    <row r="170" customFormat="false" ht="15" hidden="false" customHeight="false" outlineLevel="0" collapsed="false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</row>
    <row r="171" customFormat="false" ht="15" hidden="false" customHeight="false" outlineLevel="0" collapsed="false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</row>
    <row r="172" customFormat="false" ht="15" hidden="false" customHeight="false" outlineLevel="0" collapsed="false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</row>
    <row r="173" customFormat="false" ht="15" hidden="false" customHeight="false" outlineLevel="0" collapsed="false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</row>
    <row r="174" customFormat="false" ht="15" hidden="false" customHeight="false" outlineLevel="0" collapsed="false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</row>
    <row r="175" customFormat="false" ht="15" hidden="false" customHeight="false" outlineLevel="0" collapsed="false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</row>
    <row r="176" customFormat="false" ht="15" hidden="false" customHeight="false" outlineLevel="0" collapsed="false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</row>
    <row r="177" customFormat="false" ht="15" hidden="false" customHeight="false" outlineLevel="0" collapsed="false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</row>
    <row r="178" customFormat="false" ht="15" hidden="false" customHeight="false" outlineLevel="0" collapsed="false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</row>
    <row r="179" customFormat="false" ht="15" hidden="false" customHeight="false" outlineLevel="0" collapsed="false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</row>
    <row r="180" customFormat="false" ht="15" hidden="false" customHeight="false" outlineLevel="0" collapsed="false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</row>
    <row r="181" customFormat="false" ht="15" hidden="false" customHeight="false" outlineLevel="0" collapsed="false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</row>
    <row r="182" customFormat="false" ht="15" hidden="false" customHeight="false" outlineLevel="0" collapsed="false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</row>
    <row r="183" customFormat="false" ht="15" hidden="false" customHeight="false" outlineLevel="0" collapsed="false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</row>
    <row r="184" customFormat="false" ht="15" hidden="false" customHeight="false" outlineLevel="0" collapsed="false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</row>
    <row r="185" customFormat="false" ht="15" hidden="false" customHeight="false" outlineLevel="0" collapsed="false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</row>
    <row r="186" customFormat="false" ht="15" hidden="false" customHeight="false" outlineLevel="0" collapsed="false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</row>
    <row r="187" customFormat="false" ht="15" hidden="false" customHeight="false" outlineLevel="0" collapsed="false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</row>
    <row r="188" customFormat="false" ht="15" hidden="false" customHeight="false" outlineLevel="0" collapsed="false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</row>
    <row r="189" customFormat="false" ht="15" hidden="false" customHeight="false" outlineLevel="0" collapsed="false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</row>
    <row r="190" customFormat="false" ht="15" hidden="false" customHeight="false" outlineLevel="0" collapsed="false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</row>
    <row r="191" customFormat="false" ht="15" hidden="false" customHeight="false" outlineLevel="0" collapsed="false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</row>
    <row r="192" customFormat="false" ht="15" hidden="false" customHeight="false" outlineLevel="0" collapsed="false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</row>
    <row r="193" customFormat="false" ht="15" hidden="false" customHeight="false" outlineLevel="0" collapsed="false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</row>
    <row r="194" customFormat="false" ht="15" hidden="false" customHeight="false" outlineLevel="0" collapsed="false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</row>
    <row r="195" customFormat="false" ht="15" hidden="false" customHeight="false" outlineLevel="0" collapsed="false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</row>
    <row r="196" customFormat="false" ht="15" hidden="false" customHeight="false" outlineLevel="0" collapsed="false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</row>
    <row r="197" customFormat="false" ht="15" hidden="false" customHeight="false" outlineLevel="0" collapsed="false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</row>
    <row r="198" customFormat="false" ht="15" hidden="false" customHeight="false" outlineLevel="0" collapsed="false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</row>
    <row r="199" customFormat="false" ht="15" hidden="false" customHeight="false" outlineLevel="0" collapsed="false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</row>
    <row r="200" customFormat="false" ht="15" hidden="false" customHeight="false" outlineLevel="0" collapsed="false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</row>
    <row r="201" customFormat="false" ht="15" hidden="false" customHeight="false" outlineLevel="0" collapsed="false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</row>
    <row r="202" customFormat="false" ht="15" hidden="false" customHeight="false" outlineLevel="0" collapsed="false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</row>
    <row r="203" customFormat="false" ht="15" hidden="false" customHeight="false" outlineLevel="0" collapsed="false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</row>
    <row r="204" customFormat="false" ht="15" hidden="false" customHeight="false" outlineLevel="0" collapsed="false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</row>
    <row r="205" customFormat="false" ht="15" hidden="false" customHeight="false" outlineLevel="0" collapsed="false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</row>
    <row r="206" customFormat="false" ht="15" hidden="false" customHeight="false" outlineLevel="0" collapsed="false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</row>
    <row r="207" customFormat="false" ht="15" hidden="false" customHeight="false" outlineLevel="0" collapsed="false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</row>
    <row r="208" customFormat="false" ht="15" hidden="false" customHeight="false" outlineLevel="0" collapsed="false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</row>
    <row r="209" customFormat="false" ht="15" hidden="false" customHeight="false" outlineLevel="0" collapsed="false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</row>
    <row r="210" customFormat="false" ht="15" hidden="false" customHeight="false" outlineLevel="0" collapsed="false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</row>
    <row r="211" customFormat="false" ht="15" hidden="false" customHeight="false" outlineLevel="0" collapsed="false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</row>
    <row r="212" customFormat="false" ht="15" hidden="false" customHeight="false" outlineLevel="0" collapsed="false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</row>
    <row r="213" customFormat="false" ht="15" hidden="false" customHeight="false" outlineLevel="0" collapsed="false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</row>
    <row r="214" customFormat="false" ht="15" hidden="false" customHeight="false" outlineLevel="0" collapsed="false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</row>
    <row r="215" customFormat="false" ht="15" hidden="false" customHeight="false" outlineLevel="0" collapsed="false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</row>
    <row r="216" customFormat="false" ht="15" hidden="false" customHeight="false" outlineLevel="0" collapsed="false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</row>
    <row r="217" customFormat="false" ht="15" hidden="false" customHeight="false" outlineLevel="0" collapsed="false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</row>
    <row r="218" customFormat="false" ht="15" hidden="false" customHeight="false" outlineLevel="0" collapsed="false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</row>
    <row r="219" customFormat="false" ht="15" hidden="false" customHeight="false" outlineLevel="0" collapsed="false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</row>
    <row r="220" customFormat="false" ht="15" hidden="false" customHeight="false" outlineLevel="0" collapsed="false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</row>
    <row r="221" customFormat="false" ht="15" hidden="false" customHeight="false" outlineLevel="0" collapsed="false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</row>
    <row r="222" customFormat="false" ht="15" hidden="false" customHeight="false" outlineLevel="0" collapsed="false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</row>
    <row r="223" customFormat="false" ht="15" hidden="false" customHeight="false" outlineLevel="0" collapsed="false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</row>
    <row r="224" customFormat="false" ht="15" hidden="false" customHeight="false" outlineLevel="0" collapsed="false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</row>
    <row r="225" customFormat="false" ht="15" hidden="false" customHeight="false" outlineLevel="0" collapsed="false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</row>
    <row r="226" customFormat="false" ht="15" hidden="false" customHeight="false" outlineLevel="0" collapsed="false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</row>
    <row r="227" customFormat="false" ht="15" hidden="false" customHeight="false" outlineLevel="0" collapsed="false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</row>
    <row r="228" customFormat="false" ht="15" hidden="false" customHeight="false" outlineLevel="0" collapsed="false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</row>
    <row r="229" customFormat="false" ht="15" hidden="false" customHeight="false" outlineLevel="0" collapsed="false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</row>
    <row r="230" customFormat="false" ht="15" hidden="false" customHeight="false" outlineLevel="0" collapsed="false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</row>
    <row r="231" customFormat="false" ht="15" hidden="false" customHeight="false" outlineLevel="0" collapsed="false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</row>
    <row r="232" customFormat="false" ht="15" hidden="false" customHeight="false" outlineLevel="0" collapsed="false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</row>
    <row r="233" customFormat="false" ht="15" hidden="false" customHeight="false" outlineLevel="0" collapsed="false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</row>
    <row r="234" customFormat="false" ht="15" hidden="false" customHeight="false" outlineLevel="0" collapsed="false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</row>
    <row r="235" customFormat="false" ht="15" hidden="false" customHeight="false" outlineLevel="0" collapsed="false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</row>
    <row r="236" customFormat="false" ht="15" hidden="false" customHeight="false" outlineLevel="0" collapsed="false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</row>
    <row r="237" customFormat="false" ht="15" hidden="false" customHeight="false" outlineLevel="0" collapsed="false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</row>
    <row r="238" customFormat="false" ht="15" hidden="false" customHeight="false" outlineLevel="0" collapsed="false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</row>
    <row r="239" customFormat="false" ht="15" hidden="false" customHeight="false" outlineLevel="0" collapsed="false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</row>
    <row r="240" customFormat="false" ht="15" hidden="false" customHeight="false" outlineLevel="0" collapsed="false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</row>
    <row r="241" customFormat="false" ht="15" hidden="false" customHeight="false" outlineLevel="0" collapsed="false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</row>
    <row r="242" customFormat="false" ht="15" hidden="false" customHeight="false" outlineLevel="0" collapsed="false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</row>
    <row r="243" customFormat="false" ht="15" hidden="false" customHeight="false" outlineLevel="0" collapsed="false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</row>
    <row r="244" customFormat="false" ht="15" hidden="false" customHeight="false" outlineLevel="0" collapsed="false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</row>
    <row r="245" customFormat="false" ht="15" hidden="false" customHeight="false" outlineLevel="0" collapsed="false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</row>
    <row r="246" customFormat="false" ht="15" hidden="false" customHeight="false" outlineLevel="0" collapsed="false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</row>
    <row r="247" customFormat="false" ht="15" hidden="false" customHeight="false" outlineLevel="0" collapsed="false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</row>
    <row r="248" customFormat="false" ht="15" hidden="false" customHeight="false" outlineLevel="0" collapsed="false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</row>
    <row r="249" customFormat="false" ht="15" hidden="false" customHeight="false" outlineLevel="0" collapsed="false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</row>
    <row r="250" customFormat="false" ht="15" hidden="false" customHeight="false" outlineLevel="0" collapsed="false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</row>
    <row r="251" customFormat="false" ht="15" hidden="false" customHeight="false" outlineLevel="0" collapsed="false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</row>
    <row r="252" customFormat="false" ht="15" hidden="false" customHeight="false" outlineLevel="0" collapsed="false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</row>
    <row r="253" customFormat="false" ht="15" hidden="false" customHeight="false" outlineLevel="0" collapsed="false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</row>
    <row r="254" customFormat="false" ht="15" hidden="false" customHeight="false" outlineLevel="0" collapsed="false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</row>
    <row r="255" customFormat="false" ht="15" hidden="false" customHeight="false" outlineLevel="0" collapsed="false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</row>
    <row r="256" customFormat="false" ht="15" hidden="false" customHeight="false" outlineLevel="0" collapsed="false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</row>
    <row r="257" customFormat="false" ht="15" hidden="false" customHeight="false" outlineLevel="0" collapsed="false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</row>
    <row r="258" customFormat="false" ht="15" hidden="false" customHeight="false" outlineLevel="0" collapsed="false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</row>
    <row r="259" customFormat="false" ht="15" hidden="false" customHeight="false" outlineLevel="0" collapsed="false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</row>
    <row r="260" customFormat="false" ht="15" hidden="false" customHeight="false" outlineLevel="0" collapsed="false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</row>
    <row r="261" customFormat="false" ht="15" hidden="false" customHeight="false" outlineLevel="0" collapsed="false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</row>
    <row r="262" customFormat="false" ht="15" hidden="false" customHeight="false" outlineLevel="0" collapsed="false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</row>
    <row r="263" customFormat="false" ht="15" hidden="false" customHeight="false" outlineLevel="0" collapsed="false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</row>
    <row r="264" customFormat="false" ht="15" hidden="false" customHeight="false" outlineLevel="0" collapsed="false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</row>
    <row r="265" customFormat="false" ht="15" hidden="false" customHeight="false" outlineLevel="0" collapsed="false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</row>
    <row r="266" customFormat="false" ht="15" hidden="false" customHeight="false" outlineLevel="0" collapsed="false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</row>
    <row r="267" customFormat="false" ht="15" hidden="false" customHeight="false" outlineLevel="0" collapsed="false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</row>
    <row r="268" customFormat="false" ht="15" hidden="false" customHeight="false" outlineLevel="0" collapsed="false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</row>
    <row r="269" customFormat="false" ht="15" hidden="false" customHeight="false" outlineLevel="0" collapsed="false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</row>
    <row r="270" customFormat="false" ht="15" hidden="false" customHeight="false" outlineLevel="0" collapsed="false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</row>
    <row r="271" customFormat="false" ht="15" hidden="false" customHeight="false" outlineLevel="0" collapsed="false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</row>
    <row r="272" customFormat="false" ht="15" hidden="false" customHeight="false" outlineLevel="0" collapsed="false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</row>
    <row r="273" customFormat="false" ht="15" hidden="false" customHeight="false" outlineLevel="0" collapsed="false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</row>
    <row r="274" customFormat="false" ht="15" hidden="false" customHeight="false" outlineLevel="0" collapsed="false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</row>
    <row r="275" customFormat="false" ht="15" hidden="false" customHeight="false" outlineLevel="0" collapsed="false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</row>
    <row r="276" customFormat="false" ht="15" hidden="false" customHeight="false" outlineLevel="0" collapsed="false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</row>
    <row r="277" customFormat="false" ht="15" hidden="false" customHeight="false" outlineLevel="0" collapsed="false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</row>
    <row r="278" customFormat="false" ht="15" hidden="false" customHeight="false" outlineLevel="0" collapsed="false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</row>
    <row r="279" customFormat="false" ht="15" hidden="false" customHeight="false" outlineLevel="0" collapsed="false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</row>
    <row r="280" customFormat="false" ht="15" hidden="false" customHeight="false" outlineLevel="0" collapsed="false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</row>
    <row r="281" customFormat="false" ht="15" hidden="false" customHeight="false" outlineLevel="0" collapsed="false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</row>
    <row r="282" customFormat="false" ht="15" hidden="false" customHeight="false" outlineLevel="0" collapsed="false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</row>
    <row r="283" customFormat="false" ht="15" hidden="false" customHeight="false" outlineLevel="0" collapsed="false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</row>
    <row r="284" customFormat="false" ht="15" hidden="false" customHeight="false" outlineLevel="0" collapsed="false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</row>
    <row r="285" customFormat="false" ht="15" hidden="false" customHeight="false" outlineLevel="0" collapsed="false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</row>
    <row r="286" customFormat="false" ht="15" hidden="false" customHeight="false" outlineLevel="0" collapsed="false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</row>
    <row r="287" customFormat="false" ht="15" hidden="false" customHeight="false" outlineLevel="0" collapsed="false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</row>
    <row r="288" customFormat="false" ht="15" hidden="false" customHeight="false" outlineLevel="0" collapsed="false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</row>
    <row r="289" customFormat="false" ht="15" hidden="false" customHeight="false" outlineLevel="0" collapsed="false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</row>
    <row r="290" customFormat="false" ht="15" hidden="false" customHeight="false" outlineLevel="0" collapsed="false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</row>
    <row r="291" customFormat="false" ht="15" hidden="false" customHeight="false" outlineLevel="0" collapsed="false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</row>
    <row r="292" customFormat="false" ht="15" hidden="false" customHeight="false" outlineLevel="0" collapsed="false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</row>
    <row r="293" customFormat="false" ht="15" hidden="false" customHeight="false" outlineLevel="0" collapsed="false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</row>
    <row r="294" customFormat="false" ht="15" hidden="false" customHeight="false" outlineLevel="0" collapsed="false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</row>
    <row r="295" customFormat="false" ht="15" hidden="false" customHeight="false" outlineLevel="0" collapsed="false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</row>
    <row r="296" customFormat="false" ht="15" hidden="false" customHeight="false" outlineLevel="0" collapsed="false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</row>
    <row r="297" customFormat="false" ht="15" hidden="false" customHeight="false" outlineLevel="0" collapsed="false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</row>
    <row r="298" customFormat="false" ht="15" hidden="false" customHeight="false" outlineLevel="0" collapsed="false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</row>
    <row r="299" customFormat="false" ht="15" hidden="false" customHeight="false" outlineLevel="0" collapsed="false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</row>
    <row r="300" customFormat="false" ht="15" hidden="false" customHeight="false" outlineLevel="0" collapsed="false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</row>
    <row r="301" customFormat="false" ht="15" hidden="false" customHeight="false" outlineLevel="0" collapsed="false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</row>
    <row r="302" customFormat="false" ht="15" hidden="false" customHeight="false" outlineLevel="0" collapsed="false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</row>
    <row r="303" customFormat="false" ht="15" hidden="false" customHeight="false" outlineLevel="0" collapsed="false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</row>
    <row r="304" customFormat="false" ht="15" hidden="false" customHeight="false" outlineLevel="0" collapsed="false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</row>
    <row r="305" customFormat="false" ht="15" hidden="false" customHeight="false" outlineLevel="0" collapsed="false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</row>
    <row r="306" customFormat="false" ht="15" hidden="false" customHeight="false" outlineLevel="0" collapsed="false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</row>
    <row r="307" customFormat="false" ht="15" hidden="false" customHeight="false" outlineLevel="0" collapsed="false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</row>
    <row r="308" customFormat="false" ht="15" hidden="false" customHeight="false" outlineLevel="0" collapsed="false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</row>
    <row r="309" customFormat="false" ht="15" hidden="false" customHeight="false" outlineLevel="0" collapsed="false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</row>
    <row r="310" customFormat="false" ht="15" hidden="false" customHeight="false" outlineLevel="0" collapsed="false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</row>
    <row r="311" customFormat="false" ht="15" hidden="false" customHeight="false" outlineLevel="0" collapsed="false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</row>
    <row r="312" customFormat="false" ht="15" hidden="false" customHeight="false" outlineLevel="0" collapsed="false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</row>
    <row r="313" customFormat="false" ht="15" hidden="false" customHeight="false" outlineLevel="0" collapsed="false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</row>
    <row r="314" customFormat="false" ht="15" hidden="false" customHeight="false" outlineLevel="0" collapsed="false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</row>
    <row r="315" customFormat="false" ht="15" hidden="false" customHeight="false" outlineLevel="0" collapsed="false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</row>
    <row r="316" customFormat="false" ht="15" hidden="false" customHeight="false" outlineLevel="0" collapsed="false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</row>
    <row r="317" customFormat="false" ht="15" hidden="false" customHeight="false" outlineLevel="0" collapsed="false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</row>
    <row r="318" customFormat="false" ht="15" hidden="false" customHeight="false" outlineLevel="0" collapsed="false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</row>
    <row r="319" customFormat="false" ht="15" hidden="false" customHeight="false" outlineLevel="0" collapsed="false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</row>
    <row r="320" customFormat="false" ht="15" hidden="false" customHeight="false" outlineLevel="0" collapsed="false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</row>
    <row r="321" customFormat="false" ht="15" hidden="false" customHeight="false" outlineLevel="0" collapsed="false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</row>
    <row r="322" customFormat="false" ht="15" hidden="false" customHeight="false" outlineLevel="0" collapsed="false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</row>
    <row r="323" customFormat="false" ht="15" hidden="false" customHeight="false" outlineLevel="0" collapsed="false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</row>
    <row r="324" customFormat="false" ht="15" hidden="false" customHeight="false" outlineLevel="0" collapsed="false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</row>
    <row r="325" customFormat="false" ht="15" hidden="false" customHeight="false" outlineLevel="0" collapsed="false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</row>
    <row r="326" customFormat="false" ht="15" hidden="false" customHeight="false" outlineLevel="0" collapsed="false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</row>
    <row r="327" customFormat="false" ht="15" hidden="false" customHeight="false" outlineLevel="0" collapsed="false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</row>
    <row r="328" customFormat="false" ht="15" hidden="false" customHeight="false" outlineLevel="0" collapsed="false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</row>
    <row r="329" customFormat="false" ht="15" hidden="false" customHeight="false" outlineLevel="0" collapsed="false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</row>
    <row r="330" customFormat="false" ht="15" hidden="false" customHeight="false" outlineLevel="0" collapsed="false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</row>
    <row r="331" customFormat="false" ht="15" hidden="false" customHeight="false" outlineLevel="0" collapsed="false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</row>
    <row r="332" customFormat="false" ht="15" hidden="false" customHeight="false" outlineLevel="0" collapsed="false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</row>
    <row r="333" customFormat="false" ht="15" hidden="false" customHeight="false" outlineLevel="0" collapsed="false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</row>
    <row r="334" customFormat="false" ht="15" hidden="false" customHeight="false" outlineLevel="0" collapsed="false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</row>
    <row r="335" customFormat="false" ht="15" hidden="false" customHeight="false" outlineLevel="0" collapsed="false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</row>
    <row r="336" customFormat="false" ht="15" hidden="false" customHeight="false" outlineLevel="0" collapsed="false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</row>
    <row r="337" customFormat="false" ht="15" hidden="false" customHeight="false" outlineLevel="0" collapsed="false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</row>
    <row r="338" customFormat="false" ht="15" hidden="false" customHeight="false" outlineLevel="0" collapsed="false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</row>
    <row r="339" customFormat="false" ht="15" hidden="false" customHeight="false" outlineLevel="0" collapsed="false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</row>
    <row r="340" customFormat="false" ht="15" hidden="false" customHeight="false" outlineLevel="0" collapsed="false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</row>
    <row r="341" customFormat="false" ht="15" hidden="false" customHeight="false" outlineLevel="0" collapsed="false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</row>
    <row r="342" customFormat="false" ht="15" hidden="false" customHeight="false" outlineLevel="0" collapsed="false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</row>
    <row r="343" customFormat="false" ht="15" hidden="false" customHeight="false" outlineLevel="0" collapsed="false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</row>
    <row r="344" customFormat="false" ht="15" hidden="false" customHeight="false" outlineLevel="0" collapsed="false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</row>
    <row r="345" customFormat="false" ht="15" hidden="false" customHeight="false" outlineLevel="0" collapsed="false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</row>
    <row r="346" customFormat="false" ht="15" hidden="false" customHeight="false" outlineLevel="0" collapsed="false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</row>
    <row r="347" customFormat="false" ht="15" hidden="false" customHeight="false" outlineLevel="0" collapsed="false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</row>
    <row r="348" customFormat="false" ht="15" hidden="false" customHeight="false" outlineLevel="0" collapsed="false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</row>
    <row r="349" customFormat="false" ht="15" hidden="false" customHeight="false" outlineLevel="0" collapsed="false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</row>
    <row r="350" customFormat="false" ht="15" hidden="false" customHeight="false" outlineLevel="0" collapsed="false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</row>
    <row r="351" customFormat="false" ht="15" hidden="false" customHeight="false" outlineLevel="0" collapsed="false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</row>
    <row r="352" customFormat="false" ht="15" hidden="false" customHeight="false" outlineLevel="0" collapsed="false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</row>
    <row r="353" customFormat="false" ht="15" hidden="false" customHeight="false" outlineLevel="0" collapsed="false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</row>
    <row r="354" customFormat="false" ht="15" hidden="false" customHeight="false" outlineLevel="0" collapsed="false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</row>
    <row r="355" customFormat="false" ht="15" hidden="false" customHeight="false" outlineLevel="0" collapsed="false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</row>
    <row r="356" customFormat="false" ht="15" hidden="false" customHeight="false" outlineLevel="0" collapsed="false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</row>
    <row r="357" customFormat="false" ht="15" hidden="false" customHeight="false" outlineLevel="0" collapsed="false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</row>
    <row r="358" customFormat="false" ht="15" hidden="false" customHeight="false" outlineLevel="0" collapsed="false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</row>
    <row r="359" customFormat="false" ht="15" hidden="false" customHeight="false" outlineLevel="0" collapsed="false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</row>
    <row r="360" customFormat="false" ht="15" hidden="false" customHeight="false" outlineLevel="0" collapsed="false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</row>
    <row r="361" customFormat="false" ht="15" hidden="false" customHeight="false" outlineLevel="0" collapsed="false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</row>
    <row r="362" customFormat="false" ht="15" hidden="false" customHeight="false" outlineLevel="0" collapsed="false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</row>
    <row r="363" customFormat="false" ht="15" hidden="false" customHeight="false" outlineLevel="0" collapsed="false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</row>
    <row r="364" customFormat="false" ht="15" hidden="false" customHeight="false" outlineLevel="0" collapsed="false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</row>
    <row r="365" customFormat="false" ht="15" hidden="false" customHeight="false" outlineLevel="0" collapsed="false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</row>
    <row r="366" customFormat="false" ht="15" hidden="false" customHeight="false" outlineLevel="0" collapsed="false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</row>
    <row r="367" customFormat="false" ht="15" hidden="false" customHeight="false" outlineLevel="0" collapsed="false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</row>
    <row r="368" customFormat="false" ht="15" hidden="false" customHeight="false" outlineLevel="0" collapsed="false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</row>
    <row r="369" customFormat="false" ht="15" hidden="false" customHeight="false" outlineLevel="0" collapsed="false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</row>
    <row r="370" customFormat="false" ht="15" hidden="false" customHeight="false" outlineLevel="0" collapsed="false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</row>
    <row r="371" customFormat="false" ht="15" hidden="false" customHeight="false" outlineLevel="0" collapsed="false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</row>
    <row r="372" customFormat="false" ht="15" hidden="false" customHeight="false" outlineLevel="0" collapsed="false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</row>
    <row r="373" customFormat="false" ht="15" hidden="false" customHeight="false" outlineLevel="0" collapsed="false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</row>
    <row r="374" customFormat="false" ht="15" hidden="false" customHeight="false" outlineLevel="0" collapsed="false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</row>
    <row r="375" customFormat="false" ht="15" hidden="false" customHeight="false" outlineLevel="0" collapsed="false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</row>
    <row r="376" customFormat="false" ht="15" hidden="false" customHeight="false" outlineLevel="0" collapsed="false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</row>
    <row r="377" customFormat="false" ht="15" hidden="false" customHeight="false" outlineLevel="0" collapsed="false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</row>
    <row r="378" customFormat="false" ht="15" hidden="false" customHeight="false" outlineLevel="0" collapsed="false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</row>
    <row r="379" customFormat="false" ht="15" hidden="false" customHeight="false" outlineLevel="0" collapsed="false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</row>
    <row r="380" customFormat="false" ht="15" hidden="false" customHeight="false" outlineLevel="0" collapsed="false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</row>
    <row r="381" customFormat="false" ht="15" hidden="false" customHeight="false" outlineLevel="0" collapsed="false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</row>
    <row r="382" customFormat="false" ht="15" hidden="false" customHeight="false" outlineLevel="0" collapsed="false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</row>
    <row r="383" customFormat="false" ht="15" hidden="false" customHeight="false" outlineLevel="0" collapsed="false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</row>
    <row r="384" customFormat="false" ht="15" hidden="false" customHeight="false" outlineLevel="0" collapsed="false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</row>
    <row r="385" customFormat="false" ht="15" hidden="false" customHeight="false" outlineLevel="0" collapsed="false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</row>
    <row r="386" customFormat="false" ht="15" hidden="false" customHeight="false" outlineLevel="0" collapsed="false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</row>
    <row r="387" customFormat="false" ht="15" hidden="false" customHeight="false" outlineLevel="0" collapsed="false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</row>
    <row r="388" customFormat="false" ht="15" hidden="false" customHeight="false" outlineLevel="0" collapsed="false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</row>
    <row r="389" customFormat="false" ht="15" hidden="false" customHeight="false" outlineLevel="0" collapsed="false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</row>
    <row r="390" customFormat="false" ht="15" hidden="false" customHeight="false" outlineLevel="0" collapsed="false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</row>
    <row r="391" customFormat="false" ht="15" hidden="false" customHeight="false" outlineLevel="0" collapsed="false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</row>
    <row r="392" customFormat="false" ht="15" hidden="false" customHeight="false" outlineLevel="0" collapsed="false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</row>
    <row r="393" customFormat="false" ht="15" hidden="false" customHeight="false" outlineLevel="0" collapsed="false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</row>
    <row r="394" customFormat="false" ht="15" hidden="false" customHeight="false" outlineLevel="0" collapsed="false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</row>
    <row r="395" customFormat="false" ht="15" hidden="false" customHeight="false" outlineLevel="0" collapsed="false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</row>
    <row r="396" customFormat="false" ht="15" hidden="false" customHeight="false" outlineLevel="0" collapsed="false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</row>
    <row r="397" customFormat="false" ht="15" hidden="false" customHeight="false" outlineLevel="0" collapsed="false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</row>
    <row r="398" customFormat="false" ht="15" hidden="false" customHeight="false" outlineLevel="0" collapsed="false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</row>
    <row r="399" customFormat="false" ht="15" hidden="false" customHeight="false" outlineLevel="0" collapsed="false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</row>
    <row r="400" customFormat="false" ht="15" hidden="false" customHeight="false" outlineLevel="0" collapsed="false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</row>
    <row r="401" customFormat="false" ht="15" hidden="false" customHeight="false" outlineLevel="0" collapsed="false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</row>
    <row r="402" customFormat="false" ht="15" hidden="false" customHeight="false" outlineLevel="0" collapsed="false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</row>
    <row r="403" customFormat="false" ht="15" hidden="false" customHeight="false" outlineLevel="0" collapsed="false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</row>
    <row r="404" customFormat="false" ht="15" hidden="false" customHeight="false" outlineLevel="0" collapsed="false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</row>
    <row r="405" customFormat="false" ht="15" hidden="false" customHeight="false" outlineLevel="0" collapsed="false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</row>
    <row r="406" customFormat="false" ht="15" hidden="false" customHeight="false" outlineLevel="0" collapsed="false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</row>
    <row r="407" customFormat="false" ht="15" hidden="false" customHeight="false" outlineLevel="0" collapsed="false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</row>
    <row r="408" customFormat="false" ht="15" hidden="false" customHeight="false" outlineLevel="0" collapsed="false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</row>
    <row r="409" customFormat="false" ht="15" hidden="false" customHeight="false" outlineLevel="0" collapsed="false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</row>
    <row r="410" customFormat="false" ht="15" hidden="false" customHeight="false" outlineLevel="0" collapsed="false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</row>
    <row r="411" customFormat="false" ht="15" hidden="false" customHeight="false" outlineLevel="0" collapsed="false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</row>
    <row r="412" customFormat="false" ht="15" hidden="false" customHeight="false" outlineLevel="0" collapsed="false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</row>
    <row r="413" customFormat="false" ht="15" hidden="false" customHeight="false" outlineLevel="0" collapsed="false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</row>
    <row r="414" customFormat="false" ht="15" hidden="false" customHeight="false" outlineLevel="0" collapsed="false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</row>
    <row r="415" customFormat="false" ht="15" hidden="false" customHeight="false" outlineLevel="0" collapsed="false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</row>
    <row r="416" customFormat="false" ht="15" hidden="false" customHeight="false" outlineLevel="0" collapsed="false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</row>
    <row r="417" customFormat="false" ht="15" hidden="false" customHeight="false" outlineLevel="0" collapsed="false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</row>
    <row r="418" customFormat="false" ht="15" hidden="false" customHeight="false" outlineLevel="0" collapsed="false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</row>
    <row r="419" customFormat="false" ht="15" hidden="false" customHeight="false" outlineLevel="0" collapsed="false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</row>
    <row r="420" customFormat="false" ht="15" hidden="false" customHeight="false" outlineLevel="0" collapsed="false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</row>
    <row r="421" customFormat="false" ht="15" hidden="false" customHeight="false" outlineLevel="0" collapsed="false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</row>
    <row r="422" customFormat="false" ht="15" hidden="false" customHeight="false" outlineLevel="0" collapsed="false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</row>
    <row r="423" customFormat="false" ht="15" hidden="false" customHeight="false" outlineLevel="0" collapsed="false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</row>
    <row r="424" customFormat="false" ht="15" hidden="false" customHeight="false" outlineLevel="0" collapsed="false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</row>
    <row r="425" customFormat="false" ht="15" hidden="false" customHeight="false" outlineLevel="0" collapsed="false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</row>
    <row r="426" customFormat="false" ht="15" hidden="false" customHeight="false" outlineLevel="0" collapsed="false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</row>
    <row r="427" customFormat="false" ht="15" hidden="false" customHeight="false" outlineLevel="0" collapsed="false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</row>
    <row r="428" customFormat="false" ht="15" hidden="false" customHeight="false" outlineLevel="0" collapsed="false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</row>
    <row r="429" customFormat="false" ht="15" hidden="false" customHeight="false" outlineLevel="0" collapsed="false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</row>
    <row r="430" customFormat="false" ht="15" hidden="false" customHeight="false" outlineLevel="0" collapsed="false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</row>
    <row r="431" customFormat="false" ht="15" hidden="false" customHeight="false" outlineLevel="0" collapsed="false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</row>
    <row r="432" customFormat="false" ht="15" hidden="false" customHeight="false" outlineLevel="0" collapsed="false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</row>
    <row r="433" customFormat="false" ht="15" hidden="false" customHeight="false" outlineLevel="0" collapsed="false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</row>
    <row r="434" customFormat="false" ht="15" hidden="false" customHeight="false" outlineLevel="0" collapsed="false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</row>
    <row r="435" customFormat="false" ht="15" hidden="false" customHeight="false" outlineLevel="0" collapsed="false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</row>
    <row r="436" customFormat="false" ht="15" hidden="false" customHeight="false" outlineLevel="0" collapsed="false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</row>
    <row r="437" customFormat="false" ht="15" hidden="false" customHeight="false" outlineLevel="0" collapsed="false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</row>
    <row r="438" customFormat="false" ht="15" hidden="false" customHeight="false" outlineLevel="0" collapsed="false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</row>
    <row r="439" customFormat="false" ht="15" hidden="false" customHeight="false" outlineLevel="0" collapsed="false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</row>
    <row r="440" customFormat="false" ht="15" hidden="false" customHeight="false" outlineLevel="0" collapsed="false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</row>
    <row r="441" customFormat="false" ht="15" hidden="false" customHeight="false" outlineLevel="0" collapsed="false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</row>
    <row r="442" customFormat="false" ht="15" hidden="false" customHeight="false" outlineLevel="0" collapsed="false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</row>
    <row r="443" customFormat="false" ht="15" hidden="false" customHeight="false" outlineLevel="0" collapsed="false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</row>
    <row r="444" customFormat="false" ht="15" hidden="false" customHeight="false" outlineLevel="0" collapsed="false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</row>
    <row r="445" customFormat="false" ht="15" hidden="false" customHeight="false" outlineLevel="0" collapsed="false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</row>
    <row r="446" customFormat="false" ht="15" hidden="false" customHeight="false" outlineLevel="0" collapsed="false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</row>
    <row r="447" customFormat="false" ht="15" hidden="false" customHeight="false" outlineLevel="0" collapsed="false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</row>
    <row r="448" customFormat="false" ht="15" hidden="false" customHeight="false" outlineLevel="0" collapsed="false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</row>
    <row r="449" customFormat="false" ht="15" hidden="false" customHeight="false" outlineLevel="0" collapsed="false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</row>
    <row r="450" customFormat="false" ht="15" hidden="false" customHeight="false" outlineLevel="0" collapsed="false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</row>
    <row r="451" customFormat="false" ht="15" hidden="false" customHeight="false" outlineLevel="0" collapsed="false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</row>
    <row r="452" customFormat="false" ht="15" hidden="false" customHeight="false" outlineLevel="0" collapsed="false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</row>
    <row r="453" customFormat="false" ht="15" hidden="false" customHeight="false" outlineLevel="0" collapsed="false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</row>
    <row r="454" customFormat="false" ht="15" hidden="false" customHeight="false" outlineLevel="0" collapsed="false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</row>
    <row r="455" customFormat="false" ht="15" hidden="false" customHeight="false" outlineLevel="0" collapsed="false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</row>
    <row r="456" customFormat="false" ht="15" hidden="false" customHeight="false" outlineLevel="0" collapsed="false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</row>
    <row r="457" customFormat="false" ht="15" hidden="false" customHeight="false" outlineLevel="0" collapsed="false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</row>
    <row r="458" customFormat="false" ht="15" hidden="false" customHeight="false" outlineLevel="0" collapsed="false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</row>
    <row r="459" customFormat="false" ht="15" hidden="false" customHeight="false" outlineLevel="0" collapsed="false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</row>
    <row r="460" customFormat="false" ht="15" hidden="false" customHeight="false" outlineLevel="0" collapsed="false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</row>
    <row r="461" customFormat="false" ht="15" hidden="false" customHeight="false" outlineLevel="0" collapsed="false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</row>
    <row r="462" customFormat="false" ht="15" hidden="false" customHeight="false" outlineLevel="0" collapsed="false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</row>
    <row r="463" customFormat="false" ht="15" hidden="false" customHeight="false" outlineLevel="0" collapsed="false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</row>
    <row r="464" customFormat="false" ht="15" hidden="false" customHeight="false" outlineLevel="0" collapsed="false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</row>
    <row r="465" customFormat="false" ht="15" hidden="false" customHeight="false" outlineLevel="0" collapsed="false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</row>
    <row r="466" customFormat="false" ht="15" hidden="false" customHeight="false" outlineLevel="0" collapsed="false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</row>
    <row r="467" customFormat="false" ht="15" hidden="false" customHeight="false" outlineLevel="0" collapsed="false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</row>
    <row r="468" customFormat="false" ht="15" hidden="false" customHeight="false" outlineLevel="0" collapsed="false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</row>
    <row r="469" customFormat="false" ht="15" hidden="false" customHeight="false" outlineLevel="0" collapsed="false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</row>
    <row r="470" customFormat="false" ht="15" hidden="false" customHeight="false" outlineLevel="0" collapsed="false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</row>
    <row r="471" customFormat="false" ht="15" hidden="false" customHeight="false" outlineLevel="0" collapsed="false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</row>
    <row r="472" customFormat="false" ht="15" hidden="false" customHeight="false" outlineLevel="0" collapsed="false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</row>
    <row r="473" customFormat="false" ht="15" hidden="false" customHeight="false" outlineLevel="0" collapsed="false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</row>
    <row r="474" customFormat="false" ht="15" hidden="false" customHeight="false" outlineLevel="0" collapsed="false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</row>
    <row r="475" customFormat="false" ht="15" hidden="false" customHeight="false" outlineLevel="0" collapsed="false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</row>
    <row r="476" customFormat="false" ht="15" hidden="false" customHeight="false" outlineLevel="0" collapsed="false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</row>
    <row r="477" customFormat="false" ht="15" hidden="false" customHeight="false" outlineLevel="0" collapsed="false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</row>
    <row r="478" customFormat="false" ht="15" hidden="false" customHeight="false" outlineLevel="0" collapsed="false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</row>
    <row r="479" customFormat="false" ht="15" hidden="false" customHeight="false" outlineLevel="0" collapsed="false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</row>
    <row r="480" customFormat="false" ht="15" hidden="false" customHeight="false" outlineLevel="0" collapsed="false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</row>
    <row r="481" customFormat="false" ht="15" hidden="false" customHeight="false" outlineLevel="0" collapsed="false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</row>
    <row r="482" customFormat="false" ht="15" hidden="false" customHeight="false" outlineLevel="0" collapsed="false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</row>
    <row r="483" customFormat="false" ht="15" hidden="false" customHeight="false" outlineLevel="0" collapsed="false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</row>
    <row r="484" customFormat="false" ht="15" hidden="false" customHeight="false" outlineLevel="0" collapsed="false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</row>
    <row r="485" customFormat="false" ht="15" hidden="false" customHeight="false" outlineLevel="0" collapsed="false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</row>
    <row r="486" customFormat="false" ht="15" hidden="false" customHeight="false" outlineLevel="0" collapsed="false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</row>
    <row r="487" customFormat="false" ht="15" hidden="false" customHeight="false" outlineLevel="0" collapsed="false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</row>
    <row r="488" customFormat="false" ht="15" hidden="false" customHeight="false" outlineLevel="0" collapsed="false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</row>
    <row r="489" customFormat="false" ht="15" hidden="false" customHeight="false" outlineLevel="0" collapsed="false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</row>
    <row r="490" customFormat="false" ht="15" hidden="false" customHeight="false" outlineLevel="0" collapsed="false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</row>
    <row r="491" customFormat="false" ht="15" hidden="false" customHeight="false" outlineLevel="0" collapsed="false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</row>
    <row r="492" customFormat="false" ht="15" hidden="false" customHeight="false" outlineLevel="0" collapsed="false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</row>
    <row r="493" customFormat="false" ht="15" hidden="false" customHeight="false" outlineLevel="0" collapsed="false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</row>
    <row r="494" customFormat="false" ht="15" hidden="false" customHeight="false" outlineLevel="0" collapsed="false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</row>
    <row r="495" customFormat="false" ht="15" hidden="false" customHeight="false" outlineLevel="0" collapsed="false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</row>
    <row r="496" customFormat="false" ht="15" hidden="false" customHeight="false" outlineLevel="0" collapsed="false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</row>
    <row r="497" customFormat="false" ht="15" hidden="false" customHeight="false" outlineLevel="0" collapsed="false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</row>
    <row r="498" customFormat="false" ht="15" hidden="false" customHeight="false" outlineLevel="0" collapsed="false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</row>
    <row r="499" customFormat="false" ht="15" hidden="false" customHeight="false" outlineLevel="0" collapsed="false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</row>
    <row r="500" customFormat="false" ht="15" hidden="false" customHeight="false" outlineLevel="0" collapsed="false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</row>
    <row r="501" customFormat="false" ht="15" hidden="false" customHeight="false" outlineLevel="0" collapsed="false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</row>
    <row r="502" customFormat="false" ht="15" hidden="false" customHeight="false" outlineLevel="0" collapsed="false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</row>
    <row r="503" customFormat="false" ht="15" hidden="false" customHeight="false" outlineLevel="0" collapsed="false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</row>
    <row r="504" customFormat="false" ht="15" hidden="false" customHeight="false" outlineLevel="0" collapsed="false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</row>
    <row r="505" customFormat="false" ht="15" hidden="false" customHeight="false" outlineLevel="0" collapsed="false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</row>
    <row r="506" customFormat="false" ht="15" hidden="false" customHeight="false" outlineLevel="0" collapsed="false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</row>
    <row r="507" customFormat="false" ht="15" hidden="false" customHeight="false" outlineLevel="0" collapsed="false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</row>
    <row r="508" customFormat="false" ht="15" hidden="false" customHeight="false" outlineLevel="0" collapsed="false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</row>
    <row r="509" customFormat="false" ht="15" hidden="false" customHeight="false" outlineLevel="0" collapsed="false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</row>
    <row r="510" customFormat="false" ht="15" hidden="false" customHeight="false" outlineLevel="0" collapsed="false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</row>
    <row r="511" customFormat="false" ht="15" hidden="false" customHeight="false" outlineLevel="0" collapsed="false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</row>
    <row r="512" customFormat="false" ht="15" hidden="false" customHeight="false" outlineLevel="0" collapsed="false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</row>
    <row r="513" customFormat="false" ht="15" hidden="false" customHeight="false" outlineLevel="0" collapsed="false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</row>
    <row r="514" customFormat="false" ht="15" hidden="false" customHeight="false" outlineLevel="0" collapsed="false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</row>
    <row r="515" customFormat="false" ht="15" hidden="false" customHeight="false" outlineLevel="0" collapsed="false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</row>
    <row r="516" customFormat="false" ht="15" hidden="false" customHeight="false" outlineLevel="0" collapsed="false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</row>
    <row r="517" customFormat="false" ht="15" hidden="false" customHeight="false" outlineLevel="0" collapsed="false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</row>
    <row r="518" customFormat="false" ht="15" hidden="false" customHeight="false" outlineLevel="0" collapsed="false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</row>
    <row r="519" customFormat="false" ht="15" hidden="false" customHeight="false" outlineLevel="0" collapsed="false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</row>
    <row r="520" customFormat="false" ht="15" hidden="false" customHeight="false" outlineLevel="0" collapsed="false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</row>
    <row r="521" customFormat="false" ht="15" hidden="false" customHeight="false" outlineLevel="0" collapsed="false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</row>
    <row r="522" customFormat="false" ht="15" hidden="false" customHeight="false" outlineLevel="0" collapsed="false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</row>
    <row r="523" customFormat="false" ht="15" hidden="false" customHeight="false" outlineLevel="0" collapsed="false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</row>
    <row r="524" customFormat="false" ht="15" hidden="false" customHeight="false" outlineLevel="0" collapsed="false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</row>
    <row r="525" customFormat="false" ht="15" hidden="false" customHeight="false" outlineLevel="0" collapsed="false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</row>
    <row r="526" customFormat="false" ht="15" hidden="false" customHeight="false" outlineLevel="0" collapsed="false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</row>
    <row r="527" customFormat="false" ht="15" hidden="false" customHeight="false" outlineLevel="0" collapsed="false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</row>
    <row r="528" customFormat="false" ht="15" hidden="false" customHeight="false" outlineLevel="0" collapsed="false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</row>
    <row r="529" customFormat="false" ht="15" hidden="false" customHeight="false" outlineLevel="0" collapsed="false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</row>
    <row r="530" customFormat="false" ht="15" hidden="false" customHeight="false" outlineLevel="0" collapsed="false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</row>
    <row r="531" customFormat="false" ht="15" hidden="false" customHeight="false" outlineLevel="0" collapsed="false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</row>
    <row r="532" customFormat="false" ht="15" hidden="false" customHeight="false" outlineLevel="0" collapsed="false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</row>
    <row r="533" customFormat="false" ht="15" hidden="false" customHeight="false" outlineLevel="0" collapsed="false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</row>
    <row r="534" customFormat="false" ht="15" hidden="false" customHeight="false" outlineLevel="0" collapsed="false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</row>
    <row r="535" customFormat="false" ht="15" hidden="false" customHeight="false" outlineLevel="0" collapsed="false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</row>
    <row r="536" customFormat="false" ht="15" hidden="false" customHeight="false" outlineLevel="0" collapsed="false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</row>
    <row r="537" customFormat="false" ht="15" hidden="false" customHeight="false" outlineLevel="0" collapsed="false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</row>
    <row r="538" customFormat="false" ht="15" hidden="false" customHeight="false" outlineLevel="0" collapsed="false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</row>
    <row r="539" customFormat="false" ht="15" hidden="false" customHeight="false" outlineLevel="0" collapsed="false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</row>
    <row r="540" customFormat="false" ht="15" hidden="false" customHeight="false" outlineLevel="0" collapsed="false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</row>
    <row r="541" customFormat="false" ht="15" hidden="false" customHeight="false" outlineLevel="0" collapsed="false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</row>
    <row r="542" customFormat="false" ht="15" hidden="false" customHeight="false" outlineLevel="0" collapsed="false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</row>
    <row r="543" customFormat="false" ht="15" hidden="false" customHeight="false" outlineLevel="0" collapsed="false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</row>
    <row r="544" customFormat="false" ht="15" hidden="false" customHeight="false" outlineLevel="0" collapsed="false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</row>
    <row r="545" customFormat="false" ht="15" hidden="false" customHeight="false" outlineLevel="0" collapsed="false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</row>
    <row r="546" customFormat="false" ht="15" hidden="false" customHeight="false" outlineLevel="0" collapsed="false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</row>
    <row r="547" customFormat="false" ht="15" hidden="false" customHeight="false" outlineLevel="0" collapsed="false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</row>
    <row r="548" customFormat="false" ht="15" hidden="false" customHeight="false" outlineLevel="0" collapsed="false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</row>
    <row r="549" customFormat="false" ht="15" hidden="false" customHeight="false" outlineLevel="0" collapsed="false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</row>
    <row r="550" customFormat="false" ht="15" hidden="false" customHeight="false" outlineLevel="0" collapsed="false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</row>
    <row r="551" customFormat="false" ht="15" hidden="false" customHeight="false" outlineLevel="0" collapsed="false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</row>
    <row r="552" customFormat="false" ht="15" hidden="false" customHeight="false" outlineLevel="0" collapsed="false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</row>
    <row r="553" customFormat="false" ht="15" hidden="false" customHeight="false" outlineLevel="0" collapsed="false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</row>
    <row r="554" customFormat="false" ht="15" hidden="false" customHeight="false" outlineLevel="0" collapsed="false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</row>
    <row r="555" customFormat="false" ht="15" hidden="false" customHeight="false" outlineLevel="0" collapsed="false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</row>
    <row r="556" customFormat="false" ht="15" hidden="false" customHeight="false" outlineLevel="0" collapsed="false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</row>
    <row r="557" customFormat="false" ht="15" hidden="false" customHeight="false" outlineLevel="0" collapsed="false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</row>
    <row r="558" customFormat="false" ht="15" hidden="false" customHeight="false" outlineLevel="0" collapsed="false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</row>
    <row r="559" customFormat="false" ht="15" hidden="false" customHeight="false" outlineLevel="0" collapsed="false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</row>
    <row r="560" customFormat="false" ht="15" hidden="false" customHeight="false" outlineLevel="0" collapsed="false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</row>
    <row r="561" customFormat="false" ht="15" hidden="false" customHeight="false" outlineLevel="0" collapsed="false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</row>
    <row r="562" customFormat="false" ht="15" hidden="false" customHeight="false" outlineLevel="0" collapsed="false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</row>
    <row r="563" customFormat="false" ht="15" hidden="false" customHeight="false" outlineLevel="0" collapsed="false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</row>
    <row r="564" customFormat="false" ht="15" hidden="false" customHeight="false" outlineLevel="0" collapsed="false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</row>
    <row r="565" customFormat="false" ht="15" hidden="false" customHeight="false" outlineLevel="0" collapsed="false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</row>
    <row r="566" customFormat="false" ht="15" hidden="false" customHeight="false" outlineLevel="0" collapsed="false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</row>
    <row r="567" customFormat="false" ht="15" hidden="false" customHeight="false" outlineLevel="0" collapsed="false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</row>
    <row r="568" customFormat="false" ht="15" hidden="false" customHeight="false" outlineLevel="0" collapsed="false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</row>
    <row r="569" customFormat="false" ht="15" hidden="false" customHeight="false" outlineLevel="0" collapsed="false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</row>
    <row r="570" customFormat="false" ht="15" hidden="false" customHeight="false" outlineLevel="0" collapsed="false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</row>
    <row r="571" customFormat="false" ht="15" hidden="false" customHeight="false" outlineLevel="0" collapsed="false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</row>
    <row r="572" customFormat="false" ht="15" hidden="false" customHeight="false" outlineLevel="0" collapsed="false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</row>
    <row r="573" customFormat="false" ht="15" hidden="false" customHeight="false" outlineLevel="0" collapsed="false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</row>
    <row r="574" customFormat="false" ht="15" hidden="false" customHeight="false" outlineLevel="0" collapsed="false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</row>
    <row r="575" customFormat="false" ht="15" hidden="false" customHeight="false" outlineLevel="0" collapsed="false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</row>
    <row r="576" customFormat="false" ht="15" hidden="false" customHeight="false" outlineLevel="0" collapsed="false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</row>
    <row r="577" customFormat="false" ht="15" hidden="false" customHeight="false" outlineLevel="0" collapsed="false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</row>
    <row r="578" customFormat="false" ht="15" hidden="false" customHeight="false" outlineLevel="0" collapsed="false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</row>
    <row r="579" customFormat="false" ht="15" hidden="false" customHeight="false" outlineLevel="0" collapsed="false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</row>
    <row r="580" customFormat="false" ht="15" hidden="false" customHeight="false" outlineLevel="0" collapsed="false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</row>
    <row r="581" customFormat="false" ht="15" hidden="false" customHeight="false" outlineLevel="0" collapsed="false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</row>
    <row r="582" customFormat="false" ht="15" hidden="false" customHeight="false" outlineLevel="0" collapsed="false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</row>
    <row r="583" customFormat="false" ht="15" hidden="false" customHeight="false" outlineLevel="0" collapsed="false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</row>
    <row r="584" customFormat="false" ht="15" hidden="false" customHeight="false" outlineLevel="0" collapsed="false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</row>
    <row r="585" customFormat="false" ht="15" hidden="false" customHeight="false" outlineLevel="0" collapsed="false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</row>
    <row r="586" customFormat="false" ht="15" hidden="false" customHeight="false" outlineLevel="0" collapsed="false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</row>
    <row r="587" customFormat="false" ht="15" hidden="false" customHeight="false" outlineLevel="0" collapsed="false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</row>
    <row r="588" customFormat="false" ht="15" hidden="false" customHeight="false" outlineLevel="0" collapsed="false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</row>
    <row r="589" customFormat="false" ht="15" hidden="false" customHeight="false" outlineLevel="0" collapsed="false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</row>
    <row r="590" customFormat="false" ht="15" hidden="false" customHeight="false" outlineLevel="0" collapsed="false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</row>
    <row r="591" customFormat="false" ht="15" hidden="false" customHeight="false" outlineLevel="0" collapsed="false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</row>
    <row r="592" customFormat="false" ht="15" hidden="false" customHeight="false" outlineLevel="0" collapsed="false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</row>
    <row r="593" customFormat="false" ht="15" hidden="false" customHeight="false" outlineLevel="0" collapsed="false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</row>
    <row r="594" customFormat="false" ht="15" hidden="false" customHeight="false" outlineLevel="0" collapsed="false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</row>
    <row r="595" customFormat="false" ht="15" hidden="false" customHeight="false" outlineLevel="0" collapsed="false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</row>
    <row r="596" customFormat="false" ht="15" hidden="false" customHeight="false" outlineLevel="0" collapsed="false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</row>
    <row r="597" customFormat="false" ht="15" hidden="false" customHeight="false" outlineLevel="0" collapsed="false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</row>
    <row r="598" customFormat="false" ht="15" hidden="false" customHeight="false" outlineLevel="0" collapsed="false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</row>
    <row r="599" customFormat="false" ht="15" hidden="false" customHeight="false" outlineLevel="0" collapsed="false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</row>
    <row r="600" customFormat="false" ht="15" hidden="false" customHeight="false" outlineLevel="0" collapsed="false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</row>
    <row r="601" customFormat="false" ht="15" hidden="false" customHeight="false" outlineLevel="0" collapsed="false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</row>
    <row r="602" customFormat="false" ht="15" hidden="false" customHeight="false" outlineLevel="0" collapsed="false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</row>
    <row r="603" customFormat="false" ht="15" hidden="false" customHeight="false" outlineLevel="0" collapsed="false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</row>
    <row r="604" customFormat="false" ht="15" hidden="false" customHeight="false" outlineLevel="0" collapsed="false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</row>
    <row r="605" customFormat="false" ht="15" hidden="false" customHeight="false" outlineLevel="0" collapsed="false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</row>
    <row r="606" customFormat="false" ht="15" hidden="false" customHeight="false" outlineLevel="0" collapsed="false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</row>
    <row r="607" customFormat="false" ht="15" hidden="false" customHeight="false" outlineLevel="0" collapsed="false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</row>
    <row r="608" customFormat="false" ht="15" hidden="false" customHeight="false" outlineLevel="0" collapsed="false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</row>
    <row r="609" customFormat="false" ht="15" hidden="false" customHeight="false" outlineLevel="0" collapsed="false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</row>
    <row r="610" customFormat="false" ht="15" hidden="false" customHeight="false" outlineLevel="0" collapsed="false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</row>
    <row r="611" customFormat="false" ht="15" hidden="false" customHeight="false" outlineLevel="0" collapsed="false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</row>
    <row r="612" customFormat="false" ht="15" hidden="false" customHeight="false" outlineLevel="0" collapsed="false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</row>
    <row r="613" customFormat="false" ht="15" hidden="false" customHeight="false" outlineLevel="0" collapsed="false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</row>
    <row r="614" customFormat="false" ht="15" hidden="false" customHeight="false" outlineLevel="0" collapsed="false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</row>
    <row r="615" customFormat="false" ht="15" hidden="false" customHeight="false" outlineLevel="0" collapsed="false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</row>
    <row r="616" customFormat="false" ht="15" hidden="false" customHeight="false" outlineLevel="0" collapsed="false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</row>
    <row r="617" customFormat="false" ht="15" hidden="false" customHeight="false" outlineLevel="0" collapsed="false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</row>
    <row r="618" customFormat="false" ht="15" hidden="false" customHeight="false" outlineLevel="0" collapsed="false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</row>
    <row r="619" customFormat="false" ht="15" hidden="false" customHeight="false" outlineLevel="0" collapsed="false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</row>
    <row r="620" customFormat="false" ht="15" hidden="false" customHeight="false" outlineLevel="0" collapsed="false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</row>
    <row r="621" customFormat="false" ht="15" hidden="false" customHeight="false" outlineLevel="0" collapsed="false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</row>
    <row r="622" customFormat="false" ht="15" hidden="false" customHeight="false" outlineLevel="0" collapsed="false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</row>
    <row r="623" customFormat="false" ht="15" hidden="false" customHeight="false" outlineLevel="0" collapsed="false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</row>
    <row r="624" customFormat="false" ht="15" hidden="false" customHeight="false" outlineLevel="0" collapsed="false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</row>
    <row r="625" customFormat="false" ht="15" hidden="false" customHeight="false" outlineLevel="0" collapsed="false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</row>
    <row r="626" customFormat="false" ht="15" hidden="false" customHeight="false" outlineLevel="0" collapsed="false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</row>
    <row r="627" customFormat="false" ht="15" hidden="false" customHeight="false" outlineLevel="0" collapsed="false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</row>
    <row r="628" customFormat="false" ht="15" hidden="false" customHeight="false" outlineLevel="0" collapsed="false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</row>
    <row r="629" customFormat="false" ht="15" hidden="false" customHeight="false" outlineLevel="0" collapsed="false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</row>
    <row r="630" customFormat="false" ht="15" hidden="false" customHeight="false" outlineLevel="0" collapsed="false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</row>
    <row r="631" customFormat="false" ht="15" hidden="false" customHeight="false" outlineLevel="0" collapsed="false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</row>
    <row r="632" customFormat="false" ht="15" hidden="false" customHeight="false" outlineLevel="0" collapsed="false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</row>
    <row r="633" customFormat="false" ht="15" hidden="false" customHeight="false" outlineLevel="0" collapsed="false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</row>
    <row r="634" customFormat="false" ht="15" hidden="false" customHeight="false" outlineLevel="0" collapsed="false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</row>
    <row r="635" customFormat="false" ht="15" hidden="false" customHeight="false" outlineLevel="0" collapsed="false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</row>
    <row r="636" customFormat="false" ht="15" hidden="false" customHeight="false" outlineLevel="0" collapsed="false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</row>
    <row r="637" customFormat="false" ht="15" hidden="false" customHeight="false" outlineLevel="0" collapsed="false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</row>
    <row r="638" customFormat="false" ht="15" hidden="false" customHeight="false" outlineLevel="0" collapsed="false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</row>
    <row r="639" customFormat="false" ht="15" hidden="false" customHeight="false" outlineLevel="0" collapsed="false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</row>
    <row r="640" customFormat="false" ht="15" hidden="false" customHeight="false" outlineLevel="0" collapsed="false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</row>
    <row r="641" customFormat="false" ht="15" hidden="false" customHeight="false" outlineLevel="0" collapsed="false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</row>
    <row r="642" customFormat="false" ht="15" hidden="false" customHeight="false" outlineLevel="0" collapsed="false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</row>
    <row r="643" customFormat="false" ht="15" hidden="false" customHeight="false" outlineLevel="0" collapsed="false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</row>
    <row r="644" customFormat="false" ht="15" hidden="false" customHeight="false" outlineLevel="0" collapsed="false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</row>
    <row r="645" customFormat="false" ht="15" hidden="false" customHeight="false" outlineLevel="0" collapsed="false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</row>
    <row r="646" customFormat="false" ht="15" hidden="false" customHeight="false" outlineLevel="0" collapsed="false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</row>
    <row r="647" customFormat="false" ht="15" hidden="false" customHeight="false" outlineLevel="0" collapsed="false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</row>
    <row r="648" customFormat="false" ht="15" hidden="false" customHeight="false" outlineLevel="0" collapsed="false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</row>
    <row r="649" customFormat="false" ht="15" hidden="false" customHeight="false" outlineLevel="0" collapsed="false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</row>
    <row r="650" customFormat="false" ht="15" hidden="false" customHeight="false" outlineLevel="0" collapsed="false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</row>
    <row r="651" customFormat="false" ht="15" hidden="false" customHeight="false" outlineLevel="0" collapsed="false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</row>
    <row r="652" customFormat="false" ht="15" hidden="false" customHeight="false" outlineLevel="0" collapsed="false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</row>
    <row r="653" customFormat="false" ht="15" hidden="false" customHeight="false" outlineLevel="0" collapsed="false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</row>
    <row r="654" customFormat="false" ht="15" hidden="false" customHeight="false" outlineLevel="0" collapsed="false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</row>
    <row r="655" customFormat="false" ht="15" hidden="false" customHeight="false" outlineLevel="0" collapsed="false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</row>
    <row r="656" customFormat="false" ht="15" hidden="false" customHeight="false" outlineLevel="0" collapsed="false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</row>
    <row r="657" customFormat="false" ht="15" hidden="false" customHeight="false" outlineLevel="0" collapsed="false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</row>
    <row r="658" customFormat="false" ht="15" hidden="false" customHeight="false" outlineLevel="0" collapsed="false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</row>
    <row r="659" customFormat="false" ht="15" hidden="false" customHeight="false" outlineLevel="0" collapsed="false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</row>
    <row r="660" customFormat="false" ht="15" hidden="false" customHeight="false" outlineLevel="0" collapsed="false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</row>
    <row r="661" customFormat="false" ht="15" hidden="false" customHeight="false" outlineLevel="0" collapsed="false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</row>
    <row r="662" customFormat="false" ht="15" hidden="false" customHeight="false" outlineLevel="0" collapsed="false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</row>
    <row r="663" customFormat="false" ht="15" hidden="false" customHeight="false" outlineLevel="0" collapsed="false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</row>
    <row r="664" customFormat="false" ht="15" hidden="false" customHeight="false" outlineLevel="0" collapsed="false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</row>
    <row r="665" customFormat="false" ht="15" hidden="false" customHeight="false" outlineLevel="0" collapsed="false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</row>
    <row r="666" customFormat="false" ht="15" hidden="false" customHeight="false" outlineLevel="0" collapsed="false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</row>
    <row r="667" customFormat="false" ht="15" hidden="false" customHeight="false" outlineLevel="0" collapsed="false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</row>
    <row r="668" customFormat="false" ht="15" hidden="false" customHeight="false" outlineLevel="0" collapsed="false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</row>
    <row r="669" customFormat="false" ht="15" hidden="false" customHeight="false" outlineLevel="0" collapsed="false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</row>
    <row r="670" customFormat="false" ht="15" hidden="false" customHeight="false" outlineLevel="0" collapsed="false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</row>
    <row r="671" customFormat="false" ht="15" hidden="false" customHeight="false" outlineLevel="0" collapsed="false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</row>
    <row r="672" customFormat="false" ht="15" hidden="false" customHeight="false" outlineLevel="0" collapsed="false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</row>
    <row r="673" customFormat="false" ht="15" hidden="false" customHeight="false" outlineLevel="0" collapsed="false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</row>
    <row r="674" customFormat="false" ht="15" hidden="false" customHeight="false" outlineLevel="0" collapsed="false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</row>
    <row r="675" customFormat="false" ht="15" hidden="false" customHeight="false" outlineLevel="0" collapsed="false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</row>
    <row r="676" customFormat="false" ht="15" hidden="false" customHeight="false" outlineLevel="0" collapsed="false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</row>
    <row r="677" customFormat="false" ht="15" hidden="false" customHeight="false" outlineLevel="0" collapsed="false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</row>
    <row r="678" customFormat="false" ht="15" hidden="false" customHeight="false" outlineLevel="0" collapsed="false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</row>
    <row r="679" customFormat="false" ht="15" hidden="false" customHeight="false" outlineLevel="0" collapsed="false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</row>
    <row r="680" customFormat="false" ht="15" hidden="false" customHeight="false" outlineLevel="0" collapsed="false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</row>
    <row r="681" customFormat="false" ht="15" hidden="false" customHeight="false" outlineLevel="0" collapsed="false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</row>
    <row r="682" customFormat="false" ht="15" hidden="false" customHeight="false" outlineLevel="0" collapsed="false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</row>
    <row r="683" customFormat="false" ht="15" hidden="false" customHeight="false" outlineLevel="0" collapsed="false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</row>
    <row r="684" customFormat="false" ht="15" hidden="false" customHeight="false" outlineLevel="0" collapsed="false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</row>
    <row r="685" customFormat="false" ht="15" hidden="false" customHeight="false" outlineLevel="0" collapsed="false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</row>
    <row r="686" customFormat="false" ht="15" hidden="false" customHeight="false" outlineLevel="0" collapsed="false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</row>
    <row r="687" customFormat="false" ht="15" hidden="false" customHeight="false" outlineLevel="0" collapsed="false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</row>
    <row r="688" customFormat="false" ht="15" hidden="false" customHeight="false" outlineLevel="0" collapsed="false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</row>
    <row r="689" customFormat="false" ht="15" hidden="false" customHeight="false" outlineLevel="0" collapsed="false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</row>
    <row r="690" customFormat="false" ht="15" hidden="false" customHeight="false" outlineLevel="0" collapsed="false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</row>
    <row r="691" customFormat="false" ht="15" hidden="false" customHeight="false" outlineLevel="0" collapsed="false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</row>
    <row r="692" customFormat="false" ht="15" hidden="false" customHeight="false" outlineLevel="0" collapsed="false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</row>
    <row r="693" customFormat="false" ht="15" hidden="false" customHeight="false" outlineLevel="0" collapsed="false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</row>
    <row r="694" customFormat="false" ht="15" hidden="false" customHeight="false" outlineLevel="0" collapsed="false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</row>
    <row r="695" customFormat="false" ht="15" hidden="false" customHeight="false" outlineLevel="0" collapsed="false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</row>
    <row r="696" customFormat="false" ht="15" hidden="false" customHeight="false" outlineLevel="0" collapsed="false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</row>
    <row r="697" customFormat="false" ht="15" hidden="false" customHeight="false" outlineLevel="0" collapsed="false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</row>
    <row r="698" customFormat="false" ht="15" hidden="false" customHeight="false" outlineLevel="0" collapsed="false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</row>
    <row r="699" customFormat="false" ht="15" hidden="false" customHeight="false" outlineLevel="0" collapsed="false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</row>
    <row r="700" customFormat="false" ht="15" hidden="false" customHeight="false" outlineLevel="0" collapsed="false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</row>
    <row r="701" customFormat="false" ht="15" hidden="false" customHeight="false" outlineLevel="0" collapsed="false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</row>
    <row r="702" customFormat="false" ht="15" hidden="false" customHeight="false" outlineLevel="0" collapsed="false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</row>
    <row r="703" customFormat="false" ht="15" hidden="false" customHeight="false" outlineLevel="0" collapsed="false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</row>
    <row r="704" customFormat="false" ht="15" hidden="false" customHeight="false" outlineLevel="0" collapsed="false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</row>
    <row r="705" customFormat="false" ht="15" hidden="false" customHeight="false" outlineLevel="0" collapsed="false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</row>
    <row r="706" customFormat="false" ht="15" hidden="false" customHeight="false" outlineLevel="0" collapsed="false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</row>
    <row r="707" customFormat="false" ht="15" hidden="false" customHeight="false" outlineLevel="0" collapsed="false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</row>
    <row r="708" customFormat="false" ht="15" hidden="false" customHeight="false" outlineLevel="0" collapsed="false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</row>
    <row r="709" customFormat="false" ht="15" hidden="false" customHeight="false" outlineLevel="0" collapsed="false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</row>
    <row r="710" customFormat="false" ht="15" hidden="false" customHeight="false" outlineLevel="0" collapsed="false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</row>
    <row r="711" customFormat="false" ht="15" hidden="false" customHeight="false" outlineLevel="0" collapsed="false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</row>
    <row r="712" customFormat="false" ht="15" hidden="false" customHeight="false" outlineLevel="0" collapsed="false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</row>
    <row r="713" customFormat="false" ht="15" hidden="false" customHeight="false" outlineLevel="0" collapsed="false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</row>
    <row r="714" customFormat="false" ht="15" hidden="false" customHeight="false" outlineLevel="0" collapsed="false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</row>
    <row r="715" customFormat="false" ht="15" hidden="false" customHeight="false" outlineLevel="0" collapsed="false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</row>
    <row r="716" customFormat="false" ht="15" hidden="false" customHeight="false" outlineLevel="0" collapsed="false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</row>
    <row r="717" customFormat="false" ht="15" hidden="false" customHeight="false" outlineLevel="0" collapsed="false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</row>
    <row r="718" customFormat="false" ht="15" hidden="false" customHeight="false" outlineLevel="0" collapsed="false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</row>
    <row r="719" customFormat="false" ht="15" hidden="false" customHeight="false" outlineLevel="0" collapsed="false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</row>
    <row r="720" customFormat="false" ht="15" hidden="false" customHeight="false" outlineLevel="0" collapsed="false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</row>
    <row r="721" customFormat="false" ht="15" hidden="false" customHeight="false" outlineLevel="0" collapsed="false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</row>
    <row r="722" customFormat="false" ht="15" hidden="false" customHeight="false" outlineLevel="0" collapsed="false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</row>
    <row r="723" customFormat="false" ht="15" hidden="false" customHeight="false" outlineLevel="0" collapsed="false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</row>
    <row r="724" customFormat="false" ht="15" hidden="false" customHeight="false" outlineLevel="0" collapsed="false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</row>
    <row r="725" customFormat="false" ht="15" hidden="false" customHeight="false" outlineLevel="0" collapsed="false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</row>
    <row r="726" customFormat="false" ht="15" hidden="false" customHeight="false" outlineLevel="0" collapsed="false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</row>
    <row r="727" customFormat="false" ht="15" hidden="false" customHeight="false" outlineLevel="0" collapsed="false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</row>
    <row r="728" customFormat="false" ht="15" hidden="false" customHeight="false" outlineLevel="0" collapsed="false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</row>
    <row r="729" customFormat="false" ht="15" hidden="false" customHeight="false" outlineLevel="0" collapsed="false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</row>
    <row r="730" customFormat="false" ht="15" hidden="false" customHeight="false" outlineLevel="0" collapsed="false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</row>
    <row r="731" customFormat="false" ht="15" hidden="false" customHeight="false" outlineLevel="0" collapsed="false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</row>
    <row r="732" customFormat="false" ht="15" hidden="false" customHeight="false" outlineLevel="0" collapsed="false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</row>
    <row r="733" customFormat="false" ht="15" hidden="false" customHeight="false" outlineLevel="0" collapsed="false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</row>
    <row r="734" customFormat="false" ht="15" hidden="false" customHeight="false" outlineLevel="0" collapsed="false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</row>
    <row r="735" customFormat="false" ht="15" hidden="false" customHeight="false" outlineLevel="0" collapsed="false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</row>
    <row r="736" customFormat="false" ht="15" hidden="false" customHeight="false" outlineLevel="0" collapsed="false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</row>
    <row r="737" customFormat="false" ht="15" hidden="false" customHeight="false" outlineLevel="0" collapsed="false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</row>
    <row r="738" customFormat="false" ht="15" hidden="false" customHeight="false" outlineLevel="0" collapsed="false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</row>
    <row r="739" customFormat="false" ht="15" hidden="false" customHeight="false" outlineLevel="0" collapsed="false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</row>
    <row r="740" customFormat="false" ht="15" hidden="false" customHeight="false" outlineLevel="0" collapsed="false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</row>
    <row r="741" customFormat="false" ht="15" hidden="false" customHeight="false" outlineLevel="0" collapsed="false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</row>
    <row r="742" customFormat="false" ht="15" hidden="false" customHeight="false" outlineLevel="0" collapsed="false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</row>
    <row r="743" customFormat="false" ht="15" hidden="false" customHeight="false" outlineLevel="0" collapsed="false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</row>
    <row r="744" customFormat="false" ht="15" hidden="false" customHeight="false" outlineLevel="0" collapsed="false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</row>
    <row r="745" customFormat="false" ht="15" hidden="false" customHeight="false" outlineLevel="0" collapsed="false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</row>
    <row r="746" customFormat="false" ht="15" hidden="false" customHeight="false" outlineLevel="0" collapsed="false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</row>
    <row r="747" customFormat="false" ht="15" hidden="false" customHeight="false" outlineLevel="0" collapsed="false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</row>
    <row r="748" customFormat="false" ht="15" hidden="false" customHeight="false" outlineLevel="0" collapsed="false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</row>
    <row r="749" customFormat="false" ht="15" hidden="false" customHeight="false" outlineLevel="0" collapsed="false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</row>
    <row r="750" customFormat="false" ht="15" hidden="false" customHeight="false" outlineLevel="0" collapsed="false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</row>
    <row r="751" customFormat="false" ht="15" hidden="false" customHeight="false" outlineLevel="0" collapsed="false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</row>
    <row r="752" customFormat="false" ht="15" hidden="false" customHeight="false" outlineLevel="0" collapsed="false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</row>
    <row r="753" customFormat="false" ht="15" hidden="false" customHeight="false" outlineLevel="0" collapsed="false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</row>
    <row r="754" customFormat="false" ht="15" hidden="false" customHeight="false" outlineLevel="0" collapsed="false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</row>
    <row r="755" customFormat="false" ht="15" hidden="false" customHeight="false" outlineLevel="0" collapsed="false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</row>
    <row r="756" customFormat="false" ht="15" hidden="false" customHeight="false" outlineLevel="0" collapsed="false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</row>
    <row r="757" customFormat="false" ht="15" hidden="false" customHeight="false" outlineLevel="0" collapsed="false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</row>
    <row r="758" customFormat="false" ht="15" hidden="false" customHeight="false" outlineLevel="0" collapsed="false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</row>
    <row r="759" customFormat="false" ht="15" hidden="false" customHeight="false" outlineLevel="0" collapsed="false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</row>
    <row r="760" customFormat="false" ht="15" hidden="false" customHeight="false" outlineLevel="0" collapsed="false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</row>
    <row r="761" customFormat="false" ht="15" hidden="false" customHeight="false" outlineLevel="0" collapsed="false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</row>
    <row r="762" customFormat="false" ht="15" hidden="false" customHeight="false" outlineLevel="0" collapsed="false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</row>
    <row r="763" customFormat="false" ht="15" hidden="false" customHeight="false" outlineLevel="0" collapsed="false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</row>
    <row r="764" customFormat="false" ht="15" hidden="false" customHeight="false" outlineLevel="0" collapsed="false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</row>
    <row r="765" customFormat="false" ht="15" hidden="false" customHeight="false" outlineLevel="0" collapsed="false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</row>
    <row r="766" customFormat="false" ht="15" hidden="false" customHeight="false" outlineLevel="0" collapsed="false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</row>
    <row r="767" customFormat="false" ht="15" hidden="false" customHeight="false" outlineLevel="0" collapsed="false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</row>
    <row r="768" customFormat="false" ht="15" hidden="false" customHeight="false" outlineLevel="0" collapsed="false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</row>
    <row r="769" customFormat="false" ht="15" hidden="false" customHeight="false" outlineLevel="0" collapsed="false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</row>
    <row r="770" customFormat="false" ht="15" hidden="false" customHeight="false" outlineLevel="0" collapsed="false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</row>
    <row r="771" customFormat="false" ht="15" hidden="false" customHeight="false" outlineLevel="0" collapsed="false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</row>
    <row r="772" customFormat="false" ht="15" hidden="false" customHeight="false" outlineLevel="0" collapsed="false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</row>
    <row r="773" customFormat="false" ht="15" hidden="false" customHeight="false" outlineLevel="0" collapsed="false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</row>
    <row r="774" customFormat="false" ht="15" hidden="false" customHeight="false" outlineLevel="0" collapsed="false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</row>
    <row r="775" customFormat="false" ht="15" hidden="false" customHeight="false" outlineLevel="0" collapsed="false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</row>
    <row r="776" customFormat="false" ht="15" hidden="false" customHeight="false" outlineLevel="0" collapsed="false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</row>
    <row r="777" customFormat="false" ht="15" hidden="false" customHeight="false" outlineLevel="0" collapsed="false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</row>
    <row r="778" customFormat="false" ht="15" hidden="false" customHeight="false" outlineLevel="0" collapsed="false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</row>
    <row r="779" customFormat="false" ht="15" hidden="false" customHeight="false" outlineLevel="0" collapsed="false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</row>
    <row r="780" customFormat="false" ht="15" hidden="false" customHeight="false" outlineLevel="0" collapsed="false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</row>
    <row r="781" customFormat="false" ht="15" hidden="false" customHeight="false" outlineLevel="0" collapsed="false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</row>
    <row r="782" customFormat="false" ht="15" hidden="false" customHeight="false" outlineLevel="0" collapsed="false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</row>
    <row r="783" customFormat="false" ht="15" hidden="false" customHeight="false" outlineLevel="0" collapsed="false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</row>
    <row r="784" customFormat="false" ht="15" hidden="false" customHeight="false" outlineLevel="0" collapsed="false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</row>
    <row r="785" customFormat="false" ht="15" hidden="false" customHeight="false" outlineLevel="0" collapsed="false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</row>
    <row r="786" customFormat="false" ht="15" hidden="false" customHeight="false" outlineLevel="0" collapsed="false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</row>
    <row r="787" customFormat="false" ht="15" hidden="false" customHeight="false" outlineLevel="0" collapsed="false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</row>
    <row r="788" customFormat="false" ht="15" hidden="false" customHeight="false" outlineLevel="0" collapsed="false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</row>
    <row r="789" customFormat="false" ht="15" hidden="false" customHeight="false" outlineLevel="0" collapsed="false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</row>
    <row r="790" customFormat="false" ht="15" hidden="false" customHeight="false" outlineLevel="0" collapsed="false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</row>
    <row r="791" customFormat="false" ht="15" hidden="false" customHeight="false" outlineLevel="0" collapsed="false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</row>
    <row r="792" customFormat="false" ht="15" hidden="false" customHeight="false" outlineLevel="0" collapsed="false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</row>
    <row r="793" customFormat="false" ht="15" hidden="false" customHeight="false" outlineLevel="0" collapsed="false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</row>
    <row r="794" customFormat="false" ht="15" hidden="false" customHeight="false" outlineLevel="0" collapsed="false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</row>
    <row r="795" customFormat="false" ht="15" hidden="false" customHeight="false" outlineLevel="0" collapsed="false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</row>
    <row r="796" customFormat="false" ht="15" hidden="false" customHeight="false" outlineLevel="0" collapsed="false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</row>
    <row r="797" customFormat="false" ht="15" hidden="false" customHeight="false" outlineLevel="0" collapsed="false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</row>
    <row r="798" customFormat="false" ht="15" hidden="false" customHeight="false" outlineLevel="0" collapsed="false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</row>
    <row r="799" customFormat="false" ht="15" hidden="false" customHeight="false" outlineLevel="0" collapsed="false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</row>
    <row r="800" customFormat="false" ht="15" hidden="false" customHeight="false" outlineLevel="0" collapsed="false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</row>
    <row r="801" customFormat="false" ht="15" hidden="false" customHeight="false" outlineLevel="0" collapsed="false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</row>
    <row r="802" customFormat="false" ht="15" hidden="false" customHeight="false" outlineLevel="0" collapsed="false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</row>
    <row r="803" customFormat="false" ht="15" hidden="false" customHeight="false" outlineLevel="0" collapsed="false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</row>
    <row r="804" customFormat="false" ht="15" hidden="false" customHeight="false" outlineLevel="0" collapsed="false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</row>
    <row r="805" customFormat="false" ht="15" hidden="false" customHeight="false" outlineLevel="0" collapsed="false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</row>
    <row r="806" customFormat="false" ht="15" hidden="false" customHeight="false" outlineLevel="0" collapsed="false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</row>
    <row r="807" customFormat="false" ht="15" hidden="false" customHeight="false" outlineLevel="0" collapsed="false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</row>
    <row r="808" customFormat="false" ht="15" hidden="false" customHeight="false" outlineLevel="0" collapsed="false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</row>
    <row r="809" customFormat="false" ht="15" hidden="false" customHeight="false" outlineLevel="0" collapsed="false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</row>
    <row r="810" customFormat="false" ht="15" hidden="false" customHeight="false" outlineLevel="0" collapsed="false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</row>
    <row r="811" customFormat="false" ht="15" hidden="false" customHeight="false" outlineLevel="0" collapsed="false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</row>
    <row r="812" customFormat="false" ht="15" hidden="false" customHeight="false" outlineLevel="0" collapsed="false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</row>
    <row r="813" customFormat="false" ht="15" hidden="false" customHeight="false" outlineLevel="0" collapsed="false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</row>
    <row r="814" customFormat="false" ht="15" hidden="false" customHeight="false" outlineLevel="0" collapsed="false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</row>
    <row r="815" customFormat="false" ht="15" hidden="false" customHeight="false" outlineLevel="0" collapsed="false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</row>
    <row r="816" customFormat="false" ht="15" hidden="false" customHeight="false" outlineLevel="0" collapsed="false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</row>
    <row r="817" customFormat="false" ht="15" hidden="false" customHeight="false" outlineLevel="0" collapsed="false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</row>
    <row r="818" customFormat="false" ht="15" hidden="false" customHeight="false" outlineLevel="0" collapsed="false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</row>
    <row r="819" customFormat="false" ht="15" hidden="false" customHeight="false" outlineLevel="0" collapsed="false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</row>
    <row r="820" customFormat="false" ht="15" hidden="false" customHeight="false" outlineLevel="0" collapsed="false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</row>
    <row r="821" customFormat="false" ht="15" hidden="false" customHeight="false" outlineLevel="0" collapsed="false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</row>
    <row r="822" customFormat="false" ht="15" hidden="false" customHeight="false" outlineLevel="0" collapsed="false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</row>
    <row r="823" customFormat="false" ht="15" hidden="false" customHeight="false" outlineLevel="0" collapsed="false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</row>
    <row r="824" customFormat="false" ht="15" hidden="false" customHeight="false" outlineLevel="0" collapsed="false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</row>
    <row r="825" customFormat="false" ht="15" hidden="false" customHeight="false" outlineLevel="0" collapsed="false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</row>
    <row r="826" customFormat="false" ht="15" hidden="false" customHeight="false" outlineLevel="0" collapsed="false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</row>
    <row r="827" customFormat="false" ht="15" hidden="false" customHeight="false" outlineLevel="0" collapsed="false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</row>
    <row r="828" customFormat="false" ht="15" hidden="false" customHeight="false" outlineLevel="0" collapsed="false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</row>
    <row r="829" customFormat="false" ht="15" hidden="false" customHeight="false" outlineLevel="0" collapsed="false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</row>
    <row r="830" customFormat="false" ht="15" hidden="false" customHeight="false" outlineLevel="0" collapsed="false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</row>
    <row r="831" customFormat="false" ht="15" hidden="false" customHeight="false" outlineLevel="0" collapsed="false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</row>
    <row r="832" customFormat="false" ht="15" hidden="false" customHeight="false" outlineLevel="0" collapsed="false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</row>
    <row r="833" customFormat="false" ht="15" hidden="false" customHeight="false" outlineLevel="0" collapsed="false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</row>
    <row r="834" customFormat="false" ht="15" hidden="false" customHeight="false" outlineLevel="0" collapsed="false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</row>
    <row r="835" customFormat="false" ht="15" hidden="false" customHeight="false" outlineLevel="0" collapsed="false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</row>
    <row r="836" customFormat="false" ht="15" hidden="false" customHeight="false" outlineLevel="0" collapsed="false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</row>
    <row r="837" customFormat="false" ht="15" hidden="false" customHeight="false" outlineLevel="0" collapsed="false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</row>
    <row r="838" customFormat="false" ht="15" hidden="false" customHeight="false" outlineLevel="0" collapsed="false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</row>
    <row r="839" customFormat="false" ht="15" hidden="false" customHeight="false" outlineLevel="0" collapsed="false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</row>
    <row r="840" customFormat="false" ht="15" hidden="false" customHeight="false" outlineLevel="0" collapsed="false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</row>
    <row r="841" customFormat="false" ht="15" hidden="false" customHeight="false" outlineLevel="0" collapsed="false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</row>
    <row r="842" customFormat="false" ht="15" hidden="false" customHeight="false" outlineLevel="0" collapsed="false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</row>
    <row r="843" customFormat="false" ht="15" hidden="false" customHeight="false" outlineLevel="0" collapsed="false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</row>
    <row r="844" customFormat="false" ht="15" hidden="false" customHeight="false" outlineLevel="0" collapsed="false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</row>
    <row r="845" customFormat="false" ht="15" hidden="false" customHeight="false" outlineLevel="0" collapsed="false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</row>
    <row r="846" customFormat="false" ht="15" hidden="false" customHeight="false" outlineLevel="0" collapsed="false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</row>
    <row r="847" customFormat="false" ht="15" hidden="false" customHeight="false" outlineLevel="0" collapsed="false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</row>
    <row r="848" customFormat="false" ht="15" hidden="false" customHeight="false" outlineLevel="0" collapsed="false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</row>
    <row r="849" customFormat="false" ht="15" hidden="false" customHeight="false" outlineLevel="0" collapsed="false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</row>
    <row r="850" customFormat="false" ht="15" hidden="false" customHeight="false" outlineLevel="0" collapsed="false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</row>
    <row r="851" customFormat="false" ht="15" hidden="false" customHeight="false" outlineLevel="0" collapsed="false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</row>
    <row r="852" customFormat="false" ht="15" hidden="false" customHeight="false" outlineLevel="0" collapsed="false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</row>
    <row r="853" customFormat="false" ht="15" hidden="false" customHeight="false" outlineLevel="0" collapsed="false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</row>
    <row r="854" customFormat="false" ht="15" hidden="false" customHeight="false" outlineLevel="0" collapsed="false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</row>
    <row r="855" customFormat="false" ht="15" hidden="false" customHeight="false" outlineLevel="0" collapsed="false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</row>
    <row r="856" customFormat="false" ht="15" hidden="false" customHeight="false" outlineLevel="0" collapsed="false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</row>
    <row r="857" customFormat="false" ht="15" hidden="false" customHeight="false" outlineLevel="0" collapsed="false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</row>
    <row r="858" customFormat="false" ht="15" hidden="false" customHeight="false" outlineLevel="0" collapsed="false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</row>
    <row r="859" customFormat="false" ht="15" hidden="false" customHeight="false" outlineLevel="0" collapsed="false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</row>
    <row r="860" customFormat="false" ht="15" hidden="false" customHeight="false" outlineLevel="0" collapsed="false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</row>
    <row r="861" customFormat="false" ht="15" hidden="false" customHeight="false" outlineLevel="0" collapsed="false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</row>
    <row r="862" customFormat="false" ht="15" hidden="false" customHeight="false" outlineLevel="0" collapsed="false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</row>
    <row r="863" customFormat="false" ht="15" hidden="false" customHeight="false" outlineLevel="0" collapsed="false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</row>
    <row r="864" customFormat="false" ht="15" hidden="false" customHeight="false" outlineLevel="0" collapsed="false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</row>
    <row r="865" customFormat="false" ht="15" hidden="false" customHeight="false" outlineLevel="0" collapsed="false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</row>
    <row r="866" customFormat="false" ht="15" hidden="false" customHeight="false" outlineLevel="0" collapsed="false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</row>
    <row r="867" customFormat="false" ht="15" hidden="false" customHeight="false" outlineLevel="0" collapsed="false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</row>
    <row r="868" customFormat="false" ht="15" hidden="false" customHeight="false" outlineLevel="0" collapsed="false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</row>
    <row r="869" customFormat="false" ht="15" hidden="false" customHeight="false" outlineLevel="0" collapsed="false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</row>
    <row r="870" customFormat="false" ht="15" hidden="false" customHeight="false" outlineLevel="0" collapsed="false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</row>
    <row r="871" customFormat="false" ht="15" hidden="false" customHeight="false" outlineLevel="0" collapsed="false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</row>
    <row r="872" customFormat="false" ht="15" hidden="false" customHeight="false" outlineLevel="0" collapsed="false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</row>
    <row r="873" customFormat="false" ht="15" hidden="false" customHeight="false" outlineLevel="0" collapsed="false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</row>
    <row r="874" customFormat="false" ht="15" hidden="false" customHeight="false" outlineLevel="0" collapsed="false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</row>
    <row r="875" customFormat="false" ht="15" hidden="false" customHeight="false" outlineLevel="0" collapsed="false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</row>
    <row r="876" customFormat="false" ht="15" hidden="false" customHeight="false" outlineLevel="0" collapsed="false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</row>
    <row r="877" customFormat="false" ht="15" hidden="false" customHeight="false" outlineLevel="0" collapsed="false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</row>
    <row r="878" customFormat="false" ht="15" hidden="false" customHeight="false" outlineLevel="0" collapsed="false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</row>
    <row r="879" customFormat="false" ht="15" hidden="false" customHeight="false" outlineLevel="0" collapsed="false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</row>
    <row r="880" customFormat="false" ht="15" hidden="false" customHeight="false" outlineLevel="0" collapsed="false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</row>
    <row r="881" customFormat="false" ht="15" hidden="false" customHeight="false" outlineLevel="0" collapsed="false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</row>
    <row r="882" customFormat="false" ht="15" hidden="false" customHeight="false" outlineLevel="0" collapsed="false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</row>
    <row r="883" customFormat="false" ht="15" hidden="false" customHeight="false" outlineLevel="0" collapsed="false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</row>
    <row r="884" customFormat="false" ht="15" hidden="false" customHeight="false" outlineLevel="0" collapsed="false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</row>
    <row r="885" customFormat="false" ht="15" hidden="false" customHeight="false" outlineLevel="0" collapsed="false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</row>
    <row r="886" customFormat="false" ht="15" hidden="false" customHeight="false" outlineLevel="0" collapsed="false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</row>
    <row r="887" customFormat="false" ht="15" hidden="false" customHeight="false" outlineLevel="0" collapsed="false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</row>
    <row r="888" customFormat="false" ht="15" hidden="false" customHeight="false" outlineLevel="0" collapsed="false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</row>
    <row r="889" customFormat="false" ht="15" hidden="false" customHeight="false" outlineLevel="0" collapsed="false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</row>
    <row r="890" customFormat="false" ht="15" hidden="false" customHeight="false" outlineLevel="0" collapsed="false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</row>
    <row r="891" customFormat="false" ht="15" hidden="false" customHeight="false" outlineLevel="0" collapsed="false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</row>
    <row r="892" customFormat="false" ht="15" hidden="false" customHeight="false" outlineLevel="0" collapsed="false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</row>
    <row r="893" customFormat="false" ht="15" hidden="false" customHeight="false" outlineLevel="0" collapsed="false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</row>
    <row r="894" customFormat="false" ht="15" hidden="false" customHeight="false" outlineLevel="0" collapsed="false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</row>
    <row r="895" customFormat="false" ht="15" hidden="false" customHeight="false" outlineLevel="0" collapsed="false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</row>
    <row r="896" customFormat="false" ht="15" hidden="false" customHeight="false" outlineLevel="0" collapsed="false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</row>
    <row r="897" customFormat="false" ht="15" hidden="false" customHeight="false" outlineLevel="0" collapsed="false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</row>
    <row r="898" customFormat="false" ht="15" hidden="false" customHeight="false" outlineLevel="0" collapsed="false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</row>
    <row r="899" customFormat="false" ht="15" hidden="false" customHeight="false" outlineLevel="0" collapsed="false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</row>
    <row r="900" customFormat="false" ht="15" hidden="false" customHeight="false" outlineLevel="0" collapsed="false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</row>
    <row r="901" customFormat="false" ht="15" hidden="false" customHeight="false" outlineLevel="0" collapsed="false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</row>
    <row r="902" customFormat="false" ht="15" hidden="false" customHeight="false" outlineLevel="0" collapsed="false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</row>
    <row r="903" customFormat="false" ht="15" hidden="false" customHeight="false" outlineLevel="0" collapsed="false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</row>
    <row r="904" customFormat="false" ht="15" hidden="false" customHeight="false" outlineLevel="0" collapsed="false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</row>
    <row r="905" customFormat="false" ht="15" hidden="false" customHeight="false" outlineLevel="0" collapsed="false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</row>
    <row r="906" customFormat="false" ht="15" hidden="false" customHeight="false" outlineLevel="0" collapsed="false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</row>
    <row r="907" customFormat="false" ht="15" hidden="false" customHeight="false" outlineLevel="0" collapsed="false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</row>
    <row r="908" customFormat="false" ht="15" hidden="false" customHeight="false" outlineLevel="0" collapsed="false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</row>
    <row r="909" customFormat="false" ht="15" hidden="false" customHeight="false" outlineLevel="0" collapsed="false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</row>
    <row r="910" customFormat="false" ht="15" hidden="false" customHeight="false" outlineLevel="0" collapsed="false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</row>
    <row r="911" customFormat="false" ht="15" hidden="false" customHeight="false" outlineLevel="0" collapsed="false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</row>
    <row r="912" customFormat="false" ht="15" hidden="false" customHeight="false" outlineLevel="0" collapsed="false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</row>
    <row r="913" customFormat="false" ht="15" hidden="false" customHeight="false" outlineLevel="0" collapsed="false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</row>
    <row r="914" customFormat="false" ht="15" hidden="false" customHeight="false" outlineLevel="0" collapsed="false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</row>
    <row r="915" customFormat="false" ht="15" hidden="false" customHeight="false" outlineLevel="0" collapsed="false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</row>
    <row r="916" customFormat="false" ht="15" hidden="false" customHeight="false" outlineLevel="0" collapsed="false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</row>
    <row r="917" customFormat="false" ht="15" hidden="false" customHeight="false" outlineLevel="0" collapsed="false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</row>
    <row r="918" customFormat="false" ht="15" hidden="false" customHeight="false" outlineLevel="0" collapsed="false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</row>
    <row r="919" customFormat="false" ht="15" hidden="false" customHeight="false" outlineLevel="0" collapsed="false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</row>
    <row r="920" customFormat="false" ht="15" hidden="false" customHeight="false" outlineLevel="0" collapsed="false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</row>
    <row r="921" customFormat="false" ht="15" hidden="false" customHeight="false" outlineLevel="0" collapsed="false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</row>
    <row r="922" customFormat="false" ht="15" hidden="false" customHeight="false" outlineLevel="0" collapsed="false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</row>
    <row r="923" customFormat="false" ht="15" hidden="false" customHeight="false" outlineLevel="0" collapsed="false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</row>
    <row r="924" customFormat="false" ht="15" hidden="false" customHeight="false" outlineLevel="0" collapsed="false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</row>
    <row r="925" customFormat="false" ht="15" hidden="false" customHeight="false" outlineLevel="0" collapsed="false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</row>
    <row r="926" customFormat="false" ht="15" hidden="false" customHeight="false" outlineLevel="0" collapsed="false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</row>
    <row r="927" customFormat="false" ht="15" hidden="false" customHeight="false" outlineLevel="0" collapsed="false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</row>
    <row r="928" customFormat="false" ht="15" hidden="false" customHeight="false" outlineLevel="0" collapsed="false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</row>
    <row r="929" customFormat="false" ht="15" hidden="false" customHeight="false" outlineLevel="0" collapsed="false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</row>
    <row r="930" customFormat="false" ht="15" hidden="false" customHeight="false" outlineLevel="0" collapsed="false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</row>
    <row r="931" customFormat="false" ht="15" hidden="false" customHeight="false" outlineLevel="0" collapsed="false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</row>
    <row r="932" customFormat="false" ht="15" hidden="false" customHeight="false" outlineLevel="0" collapsed="false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</row>
    <row r="933" customFormat="false" ht="15" hidden="false" customHeight="false" outlineLevel="0" collapsed="false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</row>
    <row r="934" customFormat="false" ht="15" hidden="false" customHeight="false" outlineLevel="0" collapsed="false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</row>
    <row r="935" customFormat="false" ht="15" hidden="false" customHeight="false" outlineLevel="0" collapsed="false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</row>
    <row r="936" customFormat="false" ht="15" hidden="false" customHeight="false" outlineLevel="0" collapsed="false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</row>
    <row r="937" customFormat="false" ht="15" hidden="false" customHeight="false" outlineLevel="0" collapsed="false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</row>
    <row r="938" customFormat="false" ht="15" hidden="false" customHeight="false" outlineLevel="0" collapsed="false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</row>
    <row r="939" customFormat="false" ht="15" hidden="false" customHeight="false" outlineLevel="0" collapsed="false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</row>
    <row r="940" customFormat="false" ht="15" hidden="false" customHeight="false" outlineLevel="0" collapsed="false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</row>
    <row r="941" customFormat="false" ht="15" hidden="false" customHeight="false" outlineLevel="0" collapsed="false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</row>
    <row r="942" customFormat="false" ht="15" hidden="false" customHeight="false" outlineLevel="0" collapsed="false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</row>
    <row r="943" customFormat="false" ht="15" hidden="false" customHeight="false" outlineLevel="0" collapsed="false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</row>
    <row r="944" customFormat="false" ht="15" hidden="false" customHeight="false" outlineLevel="0" collapsed="false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</row>
    <row r="945" customFormat="false" ht="15" hidden="false" customHeight="false" outlineLevel="0" collapsed="false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</row>
    <row r="946" customFormat="false" ht="15" hidden="false" customHeight="false" outlineLevel="0" collapsed="false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</row>
    <row r="947" customFormat="false" ht="15" hidden="false" customHeight="false" outlineLevel="0" collapsed="false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</row>
    <row r="948" customFormat="false" ht="15" hidden="false" customHeight="false" outlineLevel="0" collapsed="false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</row>
    <row r="949" customFormat="false" ht="15" hidden="false" customHeight="false" outlineLevel="0" collapsed="false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</row>
    <row r="950" customFormat="false" ht="15" hidden="false" customHeight="false" outlineLevel="0" collapsed="false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</row>
    <row r="951" customFormat="false" ht="15" hidden="false" customHeight="false" outlineLevel="0" collapsed="false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</row>
    <row r="952" customFormat="false" ht="15" hidden="false" customHeight="false" outlineLevel="0" collapsed="false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</row>
    <row r="953" customFormat="false" ht="15" hidden="false" customHeight="false" outlineLevel="0" collapsed="false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</row>
    <row r="954" customFormat="false" ht="15" hidden="false" customHeight="false" outlineLevel="0" collapsed="false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</row>
    <row r="955" customFormat="false" ht="15" hidden="false" customHeight="false" outlineLevel="0" collapsed="false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</row>
    <row r="956" customFormat="false" ht="15" hidden="false" customHeight="false" outlineLevel="0" collapsed="false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</row>
    <row r="957" customFormat="false" ht="15" hidden="false" customHeight="false" outlineLevel="0" collapsed="false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</row>
    <row r="958" customFormat="false" ht="15" hidden="false" customHeight="false" outlineLevel="0" collapsed="false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</row>
    <row r="959" customFormat="false" ht="15" hidden="false" customHeight="false" outlineLevel="0" collapsed="false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</row>
    <row r="960" customFormat="false" ht="15" hidden="false" customHeight="false" outlineLevel="0" collapsed="false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</row>
    <row r="961" customFormat="false" ht="15" hidden="false" customHeight="false" outlineLevel="0" collapsed="false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</row>
    <row r="962" customFormat="false" ht="15" hidden="false" customHeight="false" outlineLevel="0" collapsed="false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</row>
    <row r="963" customFormat="false" ht="15" hidden="false" customHeight="false" outlineLevel="0" collapsed="false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</row>
    <row r="964" customFormat="false" ht="15" hidden="false" customHeight="false" outlineLevel="0" collapsed="false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</row>
    <row r="965" customFormat="false" ht="15" hidden="false" customHeight="false" outlineLevel="0" collapsed="false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</row>
    <row r="966" customFormat="false" ht="15" hidden="false" customHeight="false" outlineLevel="0" collapsed="false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</row>
    <row r="967" customFormat="false" ht="15" hidden="false" customHeight="false" outlineLevel="0" collapsed="false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</row>
    <row r="968" customFormat="false" ht="15" hidden="false" customHeight="false" outlineLevel="0" collapsed="false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</row>
    <row r="969" customFormat="false" ht="15" hidden="false" customHeight="false" outlineLevel="0" collapsed="false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</row>
    <row r="970" customFormat="false" ht="15" hidden="false" customHeight="false" outlineLevel="0" collapsed="false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</row>
    <row r="971" customFormat="false" ht="15" hidden="false" customHeight="false" outlineLevel="0" collapsed="false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</row>
    <row r="972" customFormat="false" ht="15" hidden="false" customHeight="false" outlineLevel="0" collapsed="false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</row>
    <row r="973" customFormat="false" ht="15" hidden="false" customHeight="false" outlineLevel="0" collapsed="false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</row>
    <row r="974" customFormat="false" ht="15" hidden="false" customHeight="false" outlineLevel="0" collapsed="false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</row>
    <row r="975" customFormat="false" ht="15" hidden="false" customHeight="false" outlineLevel="0" collapsed="false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</row>
    <row r="976" customFormat="false" ht="15" hidden="false" customHeight="false" outlineLevel="0" collapsed="false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</row>
    <row r="977" customFormat="false" ht="15" hidden="false" customHeight="false" outlineLevel="0" collapsed="false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</row>
    <row r="978" customFormat="false" ht="15" hidden="false" customHeight="false" outlineLevel="0" collapsed="false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</row>
    <row r="979" customFormat="false" ht="15" hidden="false" customHeight="false" outlineLevel="0" collapsed="false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</row>
    <row r="980" customFormat="false" ht="15" hidden="false" customHeight="false" outlineLevel="0" collapsed="false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</row>
    <row r="981" customFormat="false" ht="15" hidden="false" customHeight="false" outlineLevel="0" collapsed="false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</row>
    <row r="982" customFormat="false" ht="15" hidden="false" customHeight="false" outlineLevel="0" collapsed="false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</row>
    <row r="983" customFormat="false" ht="15" hidden="false" customHeight="false" outlineLevel="0" collapsed="false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</row>
    <row r="984" customFormat="false" ht="15" hidden="false" customHeight="false" outlineLevel="0" collapsed="false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</row>
    <row r="985" customFormat="false" ht="15" hidden="false" customHeight="false" outlineLevel="0" collapsed="false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</row>
    <row r="986" customFormat="false" ht="15" hidden="false" customHeight="false" outlineLevel="0" collapsed="false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</row>
    <row r="987" customFormat="false" ht="15" hidden="false" customHeight="false" outlineLevel="0" collapsed="false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</row>
    <row r="988" customFormat="false" ht="15" hidden="false" customHeight="false" outlineLevel="0" collapsed="false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</row>
    <row r="989" customFormat="false" ht="15" hidden="false" customHeight="false" outlineLevel="0" collapsed="false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</row>
    <row r="990" customFormat="false" ht="15" hidden="false" customHeight="false" outlineLevel="0" collapsed="false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</row>
    <row r="991" customFormat="false" ht="15" hidden="false" customHeight="false" outlineLevel="0" collapsed="false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</row>
    <row r="992" customFormat="false" ht="15" hidden="false" customHeight="false" outlineLevel="0" collapsed="false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</row>
    <row r="993" customFormat="false" ht="15" hidden="false" customHeight="false" outlineLevel="0" collapsed="false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</row>
    <row r="994" customFormat="false" ht="15" hidden="false" customHeight="false" outlineLevel="0" collapsed="false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</row>
    <row r="995" customFormat="false" ht="15" hidden="false" customHeight="false" outlineLevel="0" collapsed="false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</row>
    <row r="996" customFormat="false" ht="15" hidden="false" customHeight="false" outlineLevel="0" collapsed="false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</row>
    <row r="997" customFormat="false" ht="15" hidden="false" customHeight="false" outlineLevel="0" collapsed="false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</row>
    <row r="998" customFormat="false" ht="15" hidden="false" customHeight="false" outlineLevel="0" collapsed="false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</row>
    <row r="999" customFormat="false" ht="15" hidden="false" customHeight="false" outlineLevel="0" collapsed="false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</row>
    <row r="1000" customFormat="false" ht="15" hidden="false" customHeight="false" outlineLevel="0" collapsed="false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</row>
    <row r="1001" customFormat="false" ht="15" hidden="false" customHeight="false" outlineLevel="0" collapsed="false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</row>
    <row r="1002" customFormat="false" ht="15" hidden="false" customHeight="false" outlineLevel="0" collapsed="false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</row>
    <row r="1003" customFormat="false" ht="15" hidden="false" customHeight="false" outlineLevel="0" collapsed="false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</row>
    <row r="1004" customFormat="false" ht="15" hidden="false" customHeight="false" outlineLevel="0" collapsed="false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</row>
    <row r="1005" customFormat="false" ht="15" hidden="false" customHeight="false" outlineLevel="0" collapsed="false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</row>
    <row r="1006" customFormat="false" ht="15" hidden="false" customHeight="false" outlineLevel="0" collapsed="false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</row>
    <row r="1007" customFormat="false" ht="15" hidden="false" customHeight="false" outlineLevel="0" collapsed="false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</row>
    <row r="1008" customFormat="false" ht="15" hidden="false" customHeight="false" outlineLevel="0" collapsed="false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</row>
    <row r="1009" customFormat="false" ht="15" hidden="false" customHeight="false" outlineLevel="0" collapsed="false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</row>
    <row r="1010" customFormat="false" ht="15" hidden="false" customHeight="false" outlineLevel="0" collapsed="false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</row>
    <row r="1011" customFormat="false" ht="15" hidden="false" customHeight="false" outlineLevel="0" collapsed="false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</row>
    <row r="1012" customFormat="false" ht="15" hidden="false" customHeight="false" outlineLevel="0" collapsed="false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</row>
    <row r="1013" customFormat="false" ht="15" hidden="false" customHeight="false" outlineLevel="0" collapsed="false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</row>
    <row r="1014" customFormat="false" ht="15" hidden="false" customHeight="false" outlineLevel="0" collapsed="false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</row>
    <row r="1015" customFormat="false" ht="15" hidden="false" customHeight="false" outlineLevel="0" collapsed="false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</row>
    <row r="1016" customFormat="false" ht="15" hidden="false" customHeight="false" outlineLevel="0" collapsed="false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</row>
    <row r="1017" customFormat="false" ht="15" hidden="false" customHeight="false" outlineLevel="0" collapsed="false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</row>
    <row r="1018" customFormat="false" ht="15" hidden="false" customHeight="false" outlineLevel="0" collapsed="false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54"/>
    </row>
    <row r="1019" customFormat="false" ht="15" hidden="false" customHeight="false" outlineLevel="0" collapsed="false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54"/>
    </row>
    <row r="1020" customFormat="false" ht="15" hidden="false" customHeight="false" outlineLevel="0" collapsed="false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54"/>
      <c r="L1020" s="54"/>
    </row>
    <row r="1021" customFormat="false" ht="15" hidden="false" customHeight="false" outlineLevel="0" collapsed="false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</row>
    <row r="1022" customFormat="false" ht="15" hidden="false" customHeight="false" outlineLevel="0" collapsed="false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54"/>
    </row>
    <row r="1023" customFormat="false" ht="15" hidden="false" customHeight="false" outlineLevel="0" collapsed="false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54"/>
      <c r="L1023" s="54"/>
    </row>
    <row r="1024" customFormat="false" ht="15" hidden="false" customHeight="false" outlineLevel="0" collapsed="false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54"/>
      <c r="L1024" s="54"/>
    </row>
    <row r="1025" customFormat="false" ht="15" hidden="false" customHeight="false" outlineLevel="0" collapsed="false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54"/>
      <c r="L1025" s="54"/>
    </row>
    <row r="1026" customFormat="false" ht="15" hidden="false" customHeight="false" outlineLevel="0" collapsed="false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</row>
    <row r="1027" customFormat="false" ht="15" hidden="false" customHeight="false" outlineLevel="0" collapsed="false"/>
    <row r="1028" customFormat="false" ht="15" hidden="false" customHeight="false" outlineLevel="0" collapsed="false"/>
    <row r="1029" customFormat="false" ht="15" hidden="false" customHeight="false" outlineLevel="0" collapsed="false"/>
    <row r="1030" customFormat="false" ht="15" hidden="false" customHeight="false" outlineLevel="0" collapsed="false"/>
    <row r="1031" customFormat="false" ht="15" hidden="false" customHeight="false" outlineLevel="0" collapsed="false"/>
    <row r="1032" customFormat="false" ht="15" hidden="false" customHeight="false" outlineLevel="0" collapsed="false"/>
    <row r="1033" customFormat="false" ht="15" hidden="false" customHeight="false" outlineLevel="0" collapsed="false"/>
    <row r="1034" customFormat="false" ht="15" hidden="false" customHeight="false" outlineLevel="0" collapsed="false"/>
    <row r="1035" customFormat="false" ht="15" hidden="false" customHeight="false" outlineLevel="0" collapsed="false"/>
    <row r="1036" customFormat="false" ht="15" hidden="false" customHeight="false" outlineLevel="0" collapsed="false"/>
    <row r="1037" customFormat="false" ht="15" hidden="false" customHeight="false" outlineLevel="0" collapsed="false"/>
    <row r="1038" customFormat="false" ht="15" hidden="false" customHeight="false" outlineLevel="0" collapsed="false"/>
    <row r="1039" customFormat="false" ht="15" hidden="false" customHeight="false" outlineLevel="0" collapsed="false"/>
    <row r="1040" customFormat="false" ht="15" hidden="false" customHeight="false" outlineLevel="0" collapsed="false"/>
    <row r="1041" customFormat="false" ht="15" hidden="false" customHeight="false" outlineLevel="0" collapsed="false"/>
    <row r="1042" customFormat="false" ht="15" hidden="false" customHeight="false" outlineLevel="0" collapsed="false"/>
    <row r="1043" customFormat="false" ht="15" hidden="false" customHeight="false" outlineLevel="0" collapsed="false"/>
    <row r="1044" customFormat="false" ht="15" hidden="false" customHeight="false" outlineLevel="0" collapsed="false"/>
    <row r="1045" customFormat="false" ht="15" hidden="false" customHeight="false" outlineLevel="0" collapsed="false"/>
    <row r="1046" customFormat="false" ht="15" hidden="false" customHeight="false" outlineLevel="0" collapsed="false"/>
    <row r="1047" customFormat="false" ht="15" hidden="false" customHeight="false" outlineLevel="0" collapsed="false"/>
    <row r="1048" customFormat="false" ht="15" hidden="false" customHeight="false" outlineLevel="0" collapsed="false"/>
    <row r="1049" customFormat="false" ht="15" hidden="false" customHeight="false" outlineLevel="0" collapsed="false"/>
    <row r="1050" customFormat="false" ht="15" hidden="false" customHeight="false" outlineLevel="0" collapsed="false"/>
    <row r="1051" customFormat="false" ht="15" hidden="false" customHeight="false" outlineLevel="0" collapsed="false"/>
    <row r="1052" customFormat="false" ht="15" hidden="false" customHeight="false" outlineLevel="0" collapsed="false"/>
    <row r="1053" customFormat="false" ht="15" hidden="false" customHeight="false" outlineLevel="0" collapsed="false"/>
    <row r="1054" customFormat="false" ht="15" hidden="false" customHeight="false" outlineLevel="0" collapsed="false"/>
    <row r="1055" customFormat="false" ht="15" hidden="false" customHeight="false" outlineLevel="0" collapsed="false"/>
    <row r="1056" customFormat="false" ht="15" hidden="false" customHeight="false" outlineLevel="0" collapsed="false"/>
    <row r="1057" customFormat="false" ht="15" hidden="false" customHeight="false" outlineLevel="0" collapsed="false"/>
    <row r="1058" customFormat="false" ht="15" hidden="false" customHeight="false" outlineLevel="0" collapsed="false"/>
    <row r="1059" customFormat="false" ht="15" hidden="false" customHeight="false" outlineLevel="0" collapsed="false"/>
    <row r="1060" customFormat="false" ht="15" hidden="false" customHeight="false" outlineLevel="0" collapsed="false"/>
    <row r="1061" customFormat="false" ht="15" hidden="false" customHeight="false" outlineLevel="0" collapsed="false"/>
    <row r="1062" customFormat="false" ht="15" hidden="false" customHeight="false" outlineLevel="0" collapsed="false"/>
    <row r="1063" customFormat="false" ht="15" hidden="false" customHeight="false" outlineLevel="0" collapsed="false"/>
    <row r="1064" customFormat="false" ht="15" hidden="false" customHeight="false" outlineLevel="0" collapsed="false"/>
    <row r="1065" customFormat="false" ht="15" hidden="false" customHeight="false" outlineLevel="0" collapsed="false"/>
    <row r="1066" customFormat="false" ht="15" hidden="false" customHeight="false" outlineLevel="0" collapsed="false"/>
    <row r="1067" customFormat="false" ht="15" hidden="false" customHeight="false" outlineLevel="0" collapsed="false"/>
    <row r="1068" customFormat="false" ht="15" hidden="false" customHeight="false" outlineLevel="0" collapsed="false"/>
    <row r="1069" customFormat="false" ht="15" hidden="false" customHeight="false" outlineLevel="0" collapsed="false"/>
    <row r="1070" customFormat="false" ht="15" hidden="false" customHeight="false" outlineLevel="0" collapsed="false"/>
    <row r="1071" customFormat="false" ht="15" hidden="false" customHeight="false" outlineLevel="0" collapsed="false"/>
    <row r="1072" customFormat="false" ht="15" hidden="false" customHeight="false" outlineLevel="0" collapsed="false"/>
    <row r="1073" customFormat="false" ht="15" hidden="false" customHeight="false" outlineLevel="0" collapsed="false"/>
    <row r="1074" customFormat="false" ht="15" hidden="false" customHeight="false" outlineLevel="0" collapsed="false"/>
    <row r="1075" customFormat="false" ht="15" hidden="false" customHeight="false" outlineLevel="0" collapsed="false"/>
    <row r="1076" customFormat="false" ht="15" hidden="false" customHeight="false" outlineLevel="0" collapsed="false"/>
    <row r="1077" customFormat="false" ht="15" hidden="false" customHeight="false" outlineLevel="0" collapsed="false"/>
    <row r="1078" customFormat="false" ht="15" hidden="false" customHeight="false" outlineLevel="0" collapsed="false"/>
    <row r="1079" customFormat="false" ht="15" hidden="false" customHeight="false" outlineLevel="0" collapsed="false"/>
    <row r="1080" customFormat="false" ht="15" hidden="false" customHeight="false" outlineLevel="0" collapsed="false"/>
    <row r="1081" customFormat="false" ht="15" hidden="false" customHeight="false" outlineLevel="0" collapsed="false"/>
    <row r="1082" customFormat="false" ht="15" hidden="false" customHeight="false" outlineLevel="0" collapsed="false"/>
    <row r="1083" customFormat="false" ht="15" hidden="false" customHeight="false" outlineLevel="0" collapsed="false"/>
    <row r="1084" customFormat="false" ht="15" hidden="false" customHeight="false" outlineLevel="0" collapsed="false"/>
    <row r="1085" customFormat="false" ht="15" hidden="false" customHeight="false" outlineLevel="0" collapsed="false"/>
    <row r="1086" customFormat="false" ht="15" hidden="false" customHeight="false" outlineLevel="0" collapsed="false"/>
    <row r="1087" customFormat="false" ht="15" hidden="false" customHeight="false" outlineLevel="0" collapsed="false"/>
    <row r="1088" customFormat="false" ht="15" hidden="false" customHeight="false" outlineLevel="0" collapsed="false"/>
    <row r="1089" customFormat="false" ht="15" hidden="false" customHeight="false" outlineLevel="0" collapsed="false"/>
    <row r="1090" customFormat="false" ht="15" hidden="false" customHeight="false" outlineLevel="0" collapsed="false"/>
    <row r="1091" customFormat="false" ht="15" hidden="false" customHeight="false" outlineLevel="0" collapsed="false"/>
    <row r="1092" customFormat="false" ht="15" hidden="false" customHeight="false" outlineLevel="0" collapsed="false"/>
    <row r="1093" customFormat="false" ht="15" hidden="false" customHeight="false" outlineLevel="0" collapsed="false"/>
    <row r="1094" customFormat="false" ht="15" hidden="false" customHeight="false" outlineLevel="0" collapsed="false"/>
    <row r="1095" customFormat="false" ht="15" hidden="false" customHeight="false" outlineLevel="0" collapsed="false"/>
    <row r="1096" customFormat="false" ht="15" hidden="false" customHeight="false" outlineLevel="0" collapsed="false"/>
    <row r="1097" customFormat="false" ht="15" hidden="false" customHeight="false" outlineLevel="0" collapsed="false"/>
    <row r="1098" customFormat="false" ht="15" hidden="false" customHeight="false" outlineLevel="0" collapsed="false"/>
    <row r="1099" customFormat="false" ht="15" hidden="false" customHeight="false" outlineLevel="0" collapsed="false"/>
    <row r="1100" customFormat="false" ht="15" hidden="false" customHeight="false" outlineLevel="0" collapsed="false"/>
    <row r="1101" customFormat="false" ht="15" hidden="false" customHeight="false" outlineLevel="0" collapsed="false"/>
    <row r="1102" customFormat="false" ht="15" hidden="false" customHeight="false" outlineLevel="0" collapsed="false"/>
    <row r="1103" customFormat="false" ht="15" hidden="false" customHeight="false" outlineLevel="0" collapsed="false"/>
    <row r="1104" customFormat="false" ht="15" hidden="false" customHeight="false" outlineLevel="0" collapsed="false"/>
    <row r="1105" customFormat="false" ht="15" hidden="false" customHeight="false" outlineLevel="0" collapsed="false"/>
    <row r="1106" customFormat="false" ht="15" hidden="false" customHeight="false" outlineLevel="0" collapsed="false"/>
    <row r="1107" customFormat="false" ht="15" hidden="false" customHeight="false" outlineLevel="0" collapsed="false"/>
    <row r="1108" customFormat="false" ht="15" hidden="false" customHeight="false" outlineLevel="0" collapsed="false"/>
    <row r="1109" customFormat="false" ht="15" hidden="false" customHeight="false" outlineLevel="0" collapsed="false"/>
    <row r="1110" customFormat="false" ht="15" hidden="false" customHeight="false" outlineLevel="0" collapsed="false"/>
    <row r="1111" customFormat="false" ht="15" hidden="false" customHeight="false" outlineLevel="0" collapsed="false"/>
    <row r="1112" customFormat="false" ht="15" hidden="false" customHeight="false" outlineLevel="0" collapsed="false"/>
    <row r="1113" customFormat="false" ht="15" hidden="false" customHeight="false" outlineLevel="0" collapsed="false"/>
    <row r="1114" customFormat="false" ht="15" hidden="false" customHeight="false" outlineLevel="0" collapsed="false"/>
    <row r="1115" customFormat="false" ht="15" hidden="false" customHeight="false" outlineLevel="0" collapsed="false"/>
    <row r="1116" customFormat="false" ht="15" hidden="false" customHeight="false" outlineLevel="0" collapsed="false"/>
    <row r="1117" customFormat="false" ht="15" hidden="false" customHeight="false" outlineLevel="0" collapsed="false"/>
    <row r="1118" customFormat="false" ht="15" hidden="false" customHeight="false" outlineLevel="0" collapsed="false"/>
    <row r="1119" customFormat="false" ht="15" hidden="false" customHeight="false" outlineLevel="0" collapsed="false"/>
    <row r="1120" customFormat="false" ht="15" hidden="false" customHeight="false" outlineLevel="0" collapsed="false"/>
    <row r="1121" customFormat="false" ht="15" hidden="false" customHeight="false" outlineLevel="0" collapsed="false"/>
    <row r="1122" customFormat="false" ht="15" hidden="false" customHeight="false" outlineLevel="0" collapsed="false"/>
    <row r="1123" customFormat="false" ht="15" hidden="false" customHeight="false" outlineLevel="0" collapsed="false"/>
    <row r="1124" customFormat="false" ht="15" hidden="false" customHeight="false" outlineLevel="0" collapsed="false"/>
    <row r="1125" customFormat="false" ht="15" hidden="false" customHeight="false" outlineLevel="0" collapsed="false"/>
    <row r="1126" customFormat="false" ht="15" hidden="false" customHeight="false" outlineLevel="0" collapsed="false"/>
    <row r="1127" customFormat="false" ht="15" hidden="false" customHeight="false" outlineLevel="0" collapsed="false"/>
    <row r="1128" customFormat="false" ht="15" hidden="false" customHeight="false" outlineLevel="0" collapsed="false"/>
    <row r="1129" customFormat="false" ht="15" hidden="false" customHeight="false" outlineLevel="0" collapsed="false"/>
    <row r="1130" customFormat="false" ht="15" hidden="false" customHeight="false" outlineLevel="0" collapsed="false"/>
    <row r="1131" customFormat="false" ht="15" hidden="false" customHeight="false" outlineLevel="0" collapsed="false"/>
    <row r="1132" customFormat="false" ht="15" hidden="false" customHeight="false" outlineLevel="0" collapsed="false"/>
    <row r="1133" customFormat="false" ht="15" hidden="false" customHeight="false" outlineLevel="0" collapsed="false"/>
    <row r="1134" customFormat="false" ht="15" hidden="false" customHeight="false" outlineLevel="0" collapsed="false"/>
    <row r="1135" customFormat="false" ht="15" hidden="false" customHeight="false" outlineLevel="0" collapsed="false"/>
    <row r="1136" customFormat="false" ht="15" hidden="false" customHeight="false" outlineLevel="0" collapsed="false"/>
    <row r="1137" customFormat="false" ht="15" hidden="false" customHeight="false" outlineLevel="0" collapsed="false"/>
    <row r="1138" customFormat="false" ht="15" hidden="false" customHeight="false" outlineLevel="0" collapsed="false"/>
    <row r="1139" customFormat="false" ht="15" hidden="false" customHeight="false" outlineLevel="0" collapsed="false"/>
    <row r="1140" customFormat="false" ht="15" hidden="false" customHeight="false" outlineLevel="0" collapsed="false"/>
    <row r="1141" customFormat="false" ht="15" hidden="false" customHeight="false" outlineLevel="0" collapsed="false"/>
    <row r="1142" customFormat="false" ht="15" hidden="false" customHeight="false" outlineLevel="0" collapsed="false"/>
    <row r="1143" customFormat="false" ht="15" hidden="false" customHeight="false" outlineLevel="0" collapsed="false"/>
    <row r="1144" customFormat="false" ht="15" hidden="false" customHeight="false" outlineLevel="0" collapsed="false"/>
    <row r="1145" customFormat="false" ht="15" hidden="false" customHeight="false" outlineLevel="0" collapsed="false"/>
    <row r="1146" customFormat="false" ht="15" hidden="false" customHeight="false" outlineLevel="0" collapsed="false"/>
    <row r="1147" customFormat="false" ht="15" hidden="false" customHeight="false" outlineLevel="0" collapsed="false"/>
    <row r="1148" customFormat="false" ht="15" hidden="false" customHeight="false" outlineLevel="0" collapsed="false"/>
    <row r="1149" customFormat="false" ht="15" hidden="false" customHeight="false" outlineLevel="0" collapsed="false"/>
    <row r="1150" customFormat="false" ht="15" hidden="false" customHeight="false" outlineLevel="0" collapsed="false"/>
    <row r="1151" customFormat="false" ht="15" hidden="false" customHeight="false" outlineLevel="0" collapsed="false"/>
    <row r="1152" customFormat="false" ht="15" hidden="false" customHeight="false" outlineLevel="0" collapsed="false"/>
    <row r="1153" customFormat="false" ht="15" hidden="false" customHeight="false" outlineLevel="0" collapsed="false"/>
    <row r="1154" customFormat="false" ht="15" hidden="false" customHeight="false" outlineLevel="0" collapsed="false"/>
    <row r="1155" customFormat="false" ht="15" hidden="false" customHeight="false" outlineLevel="0" collapsed="false"/>
    <row r="1156" customFormat="false" ht="15" hidden="false" customHeight="false" outlineLevel="0" collapsed="false"/>
    <row r="1157" customFormat="false" ht="15" hidden="false" customHeight="false" outlineLevel="0" collapsed="false"/>
    <row r="1158" customFormat="false" ht="15" hidden="false" customHeight="false" outlineLevel="0" collapsed="false"/>
    <row r="1159" customFormat="false" ht="15" hidden="false" customHeight="false" outlineLevel="0" collapsed="false"/>
    <row r="1160" customFormat="false" ht="15" hidden="false" customHeight="false" outlineLevel="0" collapsed="false"/>
    <row r="1161" customFormat="false" ht="15" hidden="false" customHeight="false" outlineLevel="0" collapsed="false"/>
    <row r="1162" customFormat="false" ht="15" hidden="false" customHeight="false" outlineLevel="0" collapsed="false"/>
    <row r="1163" customFormat="false" ht="15" hidden="false" customHeight="false" outlineLevel="0" collapsed="false"/>
    <row r="1164" customFormat="false" ht="15" hidden="false" customHeight="false" outlineLevel="0" collapsed="false"/>
    <row r="1165" customFormat="false" ht="15" hidden="false" customHeight="false" outlineLevel="0" collapsed="false"/>
    <row r="1166" customFormat="false" ht="15" hidden="false" customHeight="false" outlineLevel="0" collapsed="false"/>
    <row r="1167" customFormat="false" ht="15" hidden="false" customHeight="false" outlineLevel="0" collapsed="false"/>
    <row r="1168" customFormat="false" ht="15" hidden="false" customHeight="false" outlineLevel="0" collapsed="false"/>
    <row r="1169" customFormat="false" ht="15" hidden="false" customHeight="false" outlineLevel="0" collapsed="false"/>
    <row r="1170" customFormat="false" ht="15" hidden="false" customHeight="false" outlineLevel="0" collapsed="false"/>
    <row r="1171" customFormat="false" ht="15" hidden="false" customHeight="false" outlineLevel="0" collapsed="false"/>
    <row r="1172" customFormat="false" ht="15" hidden="false" customHeight="false" outlineLevel="0" collapsed="false"/>
    <row r="1173" customFormat="false" ht="15" hidden="false" customHeight="false" outlineLevel="0" collapsed="false"/>
    <row r="1174" customFormat="false" ht="15" hidden="false" customHeight="false" outlineLevel="0" collapsed="false"/>
    <row r="1175" customFormat="false" ht="15" hidden="false" customHeight="false" outlineLevel="0" collapsed="false"/>
    <row r="1176" customFormat="false" ht="15" hidden="false" customHeight="false" outlineLevel="0" collapsed="false"/>
    <row r="1177" customFormat="false" ht="15" hidden="false" customHeight="false" outlineLevel="0" collapsed="false"/>
    <row r="1178" customFormat="false" ht="15" hidden="false" customHeight="false" outlineLevel="0" collapsed="false"/>
    <row r="1179" customFormat="false" ht="15" hidden="false" customHeight="false" outlineLevel="0" collapsed="false"/>
    <row r="1180" customFormat="false" ht="15" hidden="false" customHeight="false" outlineLevel="0" collapsed="false"/>
    <row r="1181" customFormat="false" ht="15" hidden="false" customHeight="false" outlineLevel="0" collapsed="false"/>
    <row r="1182" customFormat="false" ht="15" hidden="false" customHeight="false" outlineLevel="0" collapsed="false"/>
    <row r="1183" customFormat="false" ht="15" hidden="false" customHeight="false" outlineLevel="0" collapsed="false"/>
    <row r="1184" customFormat="false" ht="15" hidden="false" customHeight="false" outlineLevel="0" collapsed="false"/>
    <row r="1185" customFormat="false" ht="15" hidden="false" customHeight="false" outlineLevel="0" collapsed="false"/>
    <row r="1186" customFormat="false" ht="15" hidden="false" customHeight="false" outlineLevel="0" collapsed="false"/>
    <row r="1187" customFormat="false" ht="15" hidden="false" customHeight="false" outlineLevel="0" collapsed="false"/>
    <row r="1188" customFormat="false" ht="15" hidden="false" customHeight="false" outlineLevel="0" collapsed="false"/>
    <row r="1189" customFormat="false" ht="15" hidden="false" customHeight="false" outlineLevel="0" collapsed="false"/>
    <row r="1190" customFormat="false" ht="15" hidden="false" customHeight="false" outlineLevel="0" collapsed="false"/>
    <row r="1191" customFormat="false" ht="15" hidden="false" customHeight="false" outlineLevel="0" collapsed="false"/>
    <row r="1192" customFormat="false" ht="15" hidden="false" customHeight="false" outlineLevel="0" collapsed="false"/>
    <row r="1193" customFormat="false" ht="15" hidden="false" customHeight="false" outlineLevel="0" collapsed="false"/>
    <row r="1194" customFormat="false" ht="15" hidden="false" customHeight="false" outlineLevel="0" collapsed="false"/>
    <row r="1195" customFormat="false" ht="15" hidden="false" customHeight="false" outlineLevel="0" collapsed="false"/>
    <row r="1196" customFormat="false" ht="15" hidden="false" customHeight="false" outlineLevel="0" collapsed="false"/>
    <row r="1197" customFormat="false" ht="15" hidden="false" customHeight="false" outlineLevel="0" collapsed="false"/>
    <row r="1198" customFormat="false" ht="15" hidden="false" customHeight="false" outlineLevel="0" collapsed="false"/>
    <row r="1199" customFormat="false" ht="15" hidden="false" customHeight="false" outlineLevel="0" collapsed="false"/>
    <row r="1200" customFormat="false" ht="15" hidden="false" customHeight="false" outlineLevel="0" collapsed="false"/>
    <row r="1201" customFormat="false" ht="15" hidden="false" customHeight="false" outlineLevel="0" collapsed="false"/>
    <row r="1202" customFormat="false" ht="15" hidden="false" customHeight="false" outlineLevel="0" collapsed="false"/>
    <row r="1203" customFormat="false" ht="15" hidden="false" customHeight="false" outlineLevel="0" collapsed="false"/>
    <row r="1204" customFormat="false" ht="15" hidden="false" customHeight="false" outlineLevel="0" collapsed="false"/>
    <row r="1205" customFormat="false" ht="15" hidden="false" customHeight="false" outlineLevel="0" collapsed="false"/>
    <row r="1206" customFormat="false" ht="15" hidden="false" customHeight="false" outlineLevel="0" collapsed="false"/>
    <row r="1207" customFormat="false" ht="15" hidden="false" customHeight="false" outlineLevel="0" collapsed="false"/>
    <row r="1208" customFormat="false" ht="15" hidden="false" customHeight="false" outlineLevel="0" collapsed="false"/>
    <row r="1209" customFormat="false" ht="15" hidden="false" customHeight="false" outlineLevel="0" collapsed="false"/>
    <row r="1210" customFormat="false" ht="15" hidden="false" customHeight="false" outlineLevel="0" collapsed="false"/>
    <row r="1211" customFormat="false" ht="15" hidden="false" customHeight="false" outlineLevel="0" collapsed="false"/>
    <row r="1212" customFormat="false" ht="15" hidden="false" customHeight="false" outlineLevel="0" collapsed="false"/>
    <row r="1213" customFormat="false" ht="15" hidden="false" customHeight="false" outlineLevel="0" collapsed="false"/>
    <row r="1214" customFormat="false" ht="15" hidden="false" customHeight="false" outlineLevel="0" collapsed="false"/>
    <row r="1215" customFormat="false" ht="15" hidden="false" customHeight="false" outlineLevel="0" collapsed="false"/>
    <row r="1216" customFormat="false" ht="15" hidden="false" customHeight="false" outlineLevel="0" collapsed="false"/>
    <row r="1217" customFormat="false" ht="15" hidden="false" customHeight="false" outlineLevel="0" collapsed="false"/>
    <row r="1218" customFormat="false" ht="15" hidden="false" customHeight="false" outlineLevel="0" collapsed="false"/>
    <row r="1219" customFormat="false" ht="15" hidden="false" customHeight="false" outlineLevel="0" collapsed="false"/>
    <row r="1220" customFormat="false" ht="15" hidden="false" customHeight="false" outlineLevel="0" collapsed="false"/>
    <row r="1221" customFormat="false" ht="15" hidden="false" customHeight="false" outlineLevel="0" collapsed="false"/>
    <row r="1222" customFormat="false" ht="15" hidden="false" customHeight="false" outlineLevel="0" collapsed="false"/>
    <row r="1223" customFormat="false" ht="15" hidden="false" customHeight="false" outlineLevel="0" collapsed="false"/>
    <row r="1224" customFormat="false" ht="15" hidden="false" customHeight="false" outlineLevel="0" collapsed="false"/>
    <row r="1225" customFormat="false" ht="15" hidden="false" customHeight="false" outlineLevel="0" collapsed="false"/>
    <row r="1226" customFormat="false" ht="15" hidden="false" customHeight="false" outlineLevel="0" collapsed="false"/>
    <row r="1227" customFormat="false" ht="15" hidden="false" customHeight="false" outlineLevel="0" collapsed="false"/>
    <row r="1228" customFormat="false" ht="15" hidden="false" customHeight="false" outlineLevel="0" collapsed="false"/>
    <row r="1229" customFormat="false" ht="15" hidden="false" customHeight="false" outlineLevel="0" collapsed="false"/>
    <row r="1230" customFormat="false" ht="15" hidden="false" customHeight="false" outlineLevel="0" collapsed="false"/>
    <row r="1231" customFormat="false" ht="15" hidden="false" customHeight="false" outlineLevel="0" collapsed="false"/>
    <row r="1232" customFormat="false" ht="15" hidden="false" customHeight="false" outlineLevel="0" collapsed="false"/>
    <row r="1233" customFormat="false" ht="15" hidden="false" customHeight="false" outlineLevel="0" collapsed="false"/>
    <row r="1234" customFormat="false" ht="15" hidden="false" customHeight="false" outlineLevel="0" collapsed="false"/>
    <row r="1235" customFormat="false" ht="15" hidden="false" customHeight="false" outlineLevel="0" collapsed="false"/>
    <row r="1236" customFormat="false" ht="15" hidden="false" customHeight="false" outlineLevel="0" collapsed="false"/>
    <row r="1237" customFormat="false" ht="15" hidden="false" customHeight="false" outlineLevel="0" collapsed="false"/>
    <row r="1238" customFormat="false" ht="15" hidden="false" customHeight="false" outlineLevel="0" collapsed="false"/>
    <row r="1239" customFormat="false" ht="15" hidden="false" customHeight="false" outlineLevel="0" collapsed="false"/>
    <row r="1240" customFormat="false" ht="15" hidden="false" customHeight="false" outlineLevel="0" collapsed="false"/>
    <row r="1241" customFormat="false" ht="15" hidden="false" customHeight="false" outlineLevel="0" collapsed="false"/>
    <row r="1242" customFormat="false" ht="15" hidden="false" customHeight="false" outlineLevel="0" collapsed="false"/>
    <row r="1243" customFormat="false" ht="15" hidden="false" customHeight="false" outlineLevel="0" collapsed="false"/>
    <row r="1244" customFormat="false" ht="15" hidden="false" customHeight="false" outlineLevel="0" collapsed="false"/>
    <row r="1245" customFormat="false" ht="15" hidden="false" customHeight="false" outlineLevel="0" collapsed="false"/>
    <row r="1246" customFormat="false" ht="15" hidden="false" customHeight="false" outlineLevel="0" collapsed="false"/>
    <row r="1247" customFormat="false" ht="15" hidden="false" customHeight="false" outlineLevel="0" collapsed="false"/>
    <row r="1248" customFormat="false" ht="15" hidden="false" customHeight="false" outlineLevel="0" collapsed="false"/>
    <row r="1249" customFormat="false" ht="15" hidden="false" customHeight="false" outlineLevel="0" collapsed="false"/>
    <row r="1250" customFormat="false" ht="15" hidden="false" customHeight="false" outlineLevel="0" collapsed="false"/>
    <row r="1251" customFormat="false" ht="15" hidden="false" customHeight="false" outlineLevel="0" collapsed="false"/>
    <row r="1252" customFormat="false" ht="15" hidden="false" customHeight="false" outlineLevel="0" collapsed="false"/>
    <row r="1253" customFormat="false" ht="15" hidden="false" customHeight="false" outlineLevel="0" collapsed="false"/>
    <row r="1254" customFormat="false" ht="15" hidden="false" customHeight="false" outlineLevel="0" collapsed="false"/>
    <row r="1255" customFormat="false" ht="15" hidden="false" customHeight="false" outlineLevel="0" collapsed="false"/>
    <row r="1256" customFormat="false" ht="15" hidden="false" customHeight="false" outlineLevel="0" collapsed="false"/>
    <row r="1257" customFormat="false" ht="15" hidden="false" customHeight="false" outlineLevel="0" collapsed="false"/>
    <row r="1258" customFormat="false" ht="15" hidden="false" customHeight="false" outlineLevel="0" collapsed="false"/>
    <row r="1259" customFormat="false" ht="15" hidden="false" customHeight="false" outlineLevel="0" collapsed="false"/>
    <row r="1260" customFormat="false" ht="15" hidden="false" customHeight="false" outlineLevel="0" collapsed="false"/>
    <row r="1261" customFormat="false" ht="15" hidden="false" customHeight="false" outlineLevel="0" collapsed="false"/>
    <row r="1262" customFormat="false" ht="15" hidden="false" customHeight="false" outlineLevel="0" collapsed="false"/>
    <row r="1263" customFormat="false" ht="15" hidden="false" customHeight="false" outlineLevel="0" collapsed="false"/>
    <row r="1264" customFormat="false" ht="15" hidden="false" customHeight="false" outlineLevel="0" collapsed="false"/>
    <row r="1265" customFormat="false" ht="15" hidden="false" customHeight="false" outlineLevel="0" collapsed="false"/>
    <row r="1266" customFormat="false" ht="15" hidden="false" customHeight="false" outlineLevel="0" collapsed="false"/>
    <row r="1267" customFormat="false" ht="15" hidden="false" customHeight="false" outlineLevel="0" collapsed="false"/>
    <row r="1268" customFormat="false" ht="15" hidden="false" customHeight="false" outlineLevel="0" collapsed="false"/>
    <row r="1269" customFormat="false" ht="15" hidden="false" customHeight="false" outlineLevel="0" collapsed="false"/>
    <row r="1270" customFormat="false" ht="15" hidden="false" customHeight="false" outlineLevel="0" collapsed="false"/>
    <row r="1271" customFormat="false" ht="15" hidden="false" customHeight="false" outlineLevel="0" collapsed="false"/>
    <row r="1272" customFormat="false" ht="15" hidden="false" customHeight="false" outlineLevel="0" collapsed="false"/>
    <row r="1273" customFormat="false" ht="15" hidden="false" customHeight="false" outlineLevel="0" collapsed="false"/>
    <row r="1274" customFormat="false" ht="15" hidden="false" customHeight="false" outlineLevel="0" collapsed="false"/>
    <row r="1275" customFormat="false" ht="15" hidden="false" customHeight="false" outlineLevel="0" collapsed="false"/>
    <row r="1276" customFormat="false" ht="15" hidden="false" customHeight="false" outlineLevel="0" collapsed="false"/>
    <row r="1277" customFormat="false" ht="15" hidden="false" customHeight="false" outlineLevel="0" collapsed="false"/>
    <row r="1278" customFormat="false" ht="15" hidden="false" customHeight="false" outlineLevel="0" collapsed="false"/>
    <row r="1279" customFormat="false" ht="15" hidden="false" customHeight="false" outlineLevel="0" collapsed="false"/>
    <row r="1280" customFormat="false" ht="15" hidden="false" customHeight="false" outlineLevel="0" collapsed="false"/>
    <row r="1281" customFormat="false" ht="15" hidden="false" customHeight="false" outlineLevel="0" collapsed="false"/>
    <row r="1282" customFormat="false" ht="15" hidden="false" customHeight="false" outlineLevel="0" collapsed="false"/>
    <row r="1283" customFormat="false" ht="15" hidden="false" customHeight="false" outlineLevel="0" collapsed="false"/>
    <row r="1284" customFormat="false" ht="15" hidden="false" customHeight="false" outlineLevel="0" collapsed="false"/>
    <row r="1285" customFormat="false" ht="15" hidden="false" customHeight="false" outlineLevel="0" collapsed="false"/>
    <row r="1286" customFormat="false" ht="15" hidden="false" customHeight="false" outlineLevel="0" collapsed="false"/>
    <row r="1287" customFormat="false" ht="15" hidden="false" customHeight="false" outlineLevel="0" collapsed="false"/>
    <row r="1288" customFormat="false" ht="15" hidden="false" customHeight="false" outlineLevel="0" collapsed="false"/>
    <row r="1289" customFormat="false" ht="15" hidden="false" customHeight="false" outlineLevel="0" collapsed="false"/>
    <row r="1290" customFormat="false" ht="15" hidden="false" customHeight="false" outlineLevel="0" collapsed="false"/>
    <row r="1291" customFormat="false" ht="15" hidden="false" customHeight="false" outlineLevel="0" collapsed="false"/>
    <row r="1292" customFormat="false" ht="15" hidden="false" customHeight="false" outlineLevel="0" collapsed="false"/>
    <row r="1293" customFormat="false" ht="15" hidden="false" customHeight="false" outlineLevel="0" collapsed="false"/>
    <row r="1294" customFormat="false" ht="15" hidden="false" customHeight="false" outlineLevel="0" collapsed="false"/>
    <row r="1295" customFormat="false" ht="15" hidden="false" customHeight="false" outlineLevel="0" collapsed="false"/>
    <row r="1296" customFormat="false" ht="15" hidden="false" customHeight="false" outlineLevel="0" collapsed="false"/>
    <row r="1297" customFormat="false" ht="15" hidden="false" customHeight="false" outlineLevel="0" collapsed="false"/>
    <row r="1298" customFormat="false" ht="15" hidden="false" customHeight="false" outlineLevel="0" collapsed="false"/>
    <row r="1299" customFormat="false" ht="15" hidden="false" customHeight="false" outlineLevel="0" collapsed="false"/>
    <row r="1300" customFormat="false" ht="15" hidden="false" customHeight="false" outlineLevel="0" collapsed="false"/>
    <row r="1301" customFormat="false" ht="15" hidden="false" customHeight="false" outlineLevel="0" collapsed="false"/>
    <row r="1302" customFormat="false" ht="15" hidden="false" customHeight="false" outlineLevel="0" collapsed="false"/>
    <row r="1303" customFormat="false" ht="15" hidden="false" customHeight="false" outlineLevel="0" collapsed="false"/>
    <row r="1304" customFormat="false" ht="15" hidden="false" customHeight="false" outlineLevel="0" collapsed="false"/>
    <row r="1305" customFormat="false" ht="15" hidden="false" customHeight="false" outlineLevel="0" collapsed="false"/>
    <row r="1306" customFormat="false" ht="15" hidden="false" customHeight="false" outlineLevel="0" collapsed="false"/>
    <row r="1307" customFormat="false" ht="15" hidden="false" customHeight="false" outlineLevel="0" collapsed="false"/>
    <row r="1308" customFormat="false" ht="15" hidden="false" customHeight="false" outlineLevel="0" collapsed="false"/>
    <row r="1309" customFormat="false" ht="15" hidden="false" customHeight="false" outlineLevel="0" collapsed="false"/>
    <row r="1310" customFormat="false" ht="15" hidden="false" customHeight="false" outlineLevel="0" collapsed="false"/>
    <row r="1311" customFormat="false" ht="15" hidden="false" customHeight="false" outlineLevel="0" collapsed="false"/>
    <row r="1312" customFormat="false" ht="15" hidden="false" customHeight="false" outlineLevel="0" collapsed="false"/>
    <row r="1313" customFormat="false" ht="15" hidden="false" customHeight="false" outlineLevel="0" collapsed="false"/>
    <row r="1314" customFormat="false" ht="15" hidden="false" customHeight="false" outlineLevel="0" collapsed="false"/>
    <row r="1315" customFormat="false" ht="15" hidden="false" customHeight="false" outlineLevel="0" collapsed="false"/>
    <row r="1316" customFormat="false" ht="15" hidden="false" customHeight="false" outlineLevel="0" collapsed="false"/>
    <row r="1317" customFormat="false" ht="15" hidden="false" customHeight="false" outlineLevel="0" collapsed="false"/>
    <row r="1318" customFormat="false" ht="15" hidden="false" customHeight="false" outlineLevel="0" collapsed="false"/>
    <row r="1319" customFormat="false" ht="15" hidden="false" customHeight="false" outlineLevel="0" collapsed="false"/>
    <row r="1320" customFormat="false" ht="15" hidden="false" customHeight="false" outlineLevel="0" collapsed="false"/>
    <row r="1321" customFormat="false" ht="15" hidden="false" customHeight="false" outlineLevel="0" collapsed="false"/>
    <row r="1322" customFormat="false" ht="15" hidden="false" customHeight="false" outlineLevel="0" collapsed="false"/>
    <row r="1323" customFormat="false" ht="15" hidden="false" customHeight="false" outlineLevel="0" collapsed="false"/>
    <row r="1324" customFormat="false" ht="15" hidden="false" customHeight="false" outlineLevel="0" collapsed="false"/>
    <row r="1325" customFormat="false" ht="15" hidden="false" customHeight="false" outlineLevel="0" collapsed="false"/>
    <row r="1326" customFormat="false" ht="15" hidden="false" customHeight="false" outlineLevel="0" collapsed="false"/>
    <row r="1327" customFormat="false" ht="15" hidden="false" customHeight="false" outlineLevel="0" collapsed="false"/>
    <row r="1328" customFormat="false" ht="15" hidden="false" customHeight="false" outlineLevel="0" collapsed="false"/>
    <row r="1329" customFormat="false" ht="15" hidden="false" customHeight="false" outlineLevel="0" collapsed="false"/>
    <row r="1330" customFormat="false" ht="15" hidden="false" customHeight="false" outlineLevel="0" collapsed="false"/>
    <row r="1331" customFormat="false" ht="15" hidden="false" customHeight="false" outlineLevel="0" collapsed="false"/>
    <row r="1332" customFormat="false" ht="15" hidden="false" customHeight="false" outlineLevel="0" collapsed="false"/>
    <row r="1333" customFormat="false" ht="15" hidden="false" customHeight="false" outlineLevel="0" collapsed="false"/>
    <row r="1334" customFormat="false" ht="15" hidden="false" customHeight="false" outlineLevel="0" collapsed="false"/>
    <row r="1335" customFormat="false" ht="15" hidden="false" customHeight="false" outlineLevel="0" collapsed="false"/>
    <row r="1336" customFormat="false" ht="15" hidden="false" customHeight="false" outlineLevel="0" collapsed="false"/>
    <row r="1337" customFormat="false" ht="15" hidden="false" customHeight="false" outlineLevel="0" collapsed="false"/>
    <row r="1338" customFormat="false" ht="15" hidden="false" customHeight="false" outlineLevel="0" collapsed="false"/>
    <row r="1339" customFormat="false" ht="15" hidden="false" customHeight="false" outlineLevel="0" collapsed="false"/>
    <row r="1340" customFormat="false" ht="15" hidden="false" customHeight="false" outlineLevel="0" collapsed="false"/>
    <row r="1341" customFormat="false" ht="15" hidden="false" customHeight="false" outlineLevel="0" collapsed="false"/>
    <row r="1342" customFormat="false" ht="15" hidden="false" customHeight="false" outlineLevel="0" collapsed="false"/>
    <row r="1343" customFormat="false" ht="15" hidden="false" customHeight="false" outlineLevel="0" collapsed="false"/>
    <row r="1344" customFormat="false" ht="15" hidden="false" customHeight="false" outlineLevel="0" collapsed="false"/>
    <row r="1345" customFormat="false" ht="15" hidden="false" customHeight="false" outlineLevel="0" collapsed="false"/>
    <row r="1346" customFormat="false" ht="15" hidden="false" customHeight="false" outlineLevel="0" collapsed="false"/>
    <row r="1347" customFormat="false" ht="15" hidden="false" customHeight="false" outlineLevel="0" collapsed="false"/>
    <row r="1348" customFormat="false" ht="15" hidden="false" customHeight="false" outlineLevel="0" collapsed="false"/>
    <row r="1349" customFormat="false" ht="15" hidden="false" customHeight="false" outlineLevel="0" collapsed="false"/>
    <row r="1350" customFormat="false" ht="15" hidden="false" customHeight="false" outlineLevel="0" collapsed="false"/>
    <row r="1351" customFormat="false" ht="15" hidden="false" customHeight="false" outlineLevel="0" collapsed="false"/>
    <row r="1352" customFormat="false" ht="15" hidden="false" customHeight="false" outlineLevel="0" collapsed="false"/>
    <row r="1353" customFormat="false" ht="15" hidden="false" customHeight="false" outlineLevel="0" collapsed="false"/>
    <row r="1354" customFormat="false" ht="15" hidden="false" customHeight="false" outlineLevel="0" collapsed="false"/>
    <row r="1355" customFormat="false" ht="15" hidden="false" customHeight="false" outlineLevel="0" collapsed="false"/>
    <row r="1356" customFormat="false" ht="15" hidden="false" customHeight="false" outlineLevel="0" collapsed="false"/>
    <row r="1357" customFormat="false" ht="15" hidden="false" customHeight="false" outlineLevel="0" collapsed="false"/>
    <row r="1358" customFormat="false" ht="15" hidden="false" customHeight="false" outlineLevel="0" collapsed="false"/>
    <row r="1359" customFormat="false" ht="15" hidden="false" customHeight="false" outlineLevel="0" collapsed="false"/>
    <row r="1360" customFormat="false" ht="15" hidden="false" customHeight="false" outlineLevel="0" collapsed="false"/>
    <row r="1361" customFormat="false" ht="15" hidden="false" customHeight="false" outlineLevel="0" collapsed="false"/>
    <row r="1362" customFormat="false" ht="15" hidden="false" customHeight="false" outlineLevel="0" collapsed="false"/>
    <row r="1363" customFormat="false" ht="15" hidden="false" customHeight="false" outlineLevel="0" collapsed="false"/>
    <row r="1364" customFormat="false" ht="15" hidden="false" customHeight="false" outlineLevel="0" collapsed="false"/>
    <row r="1365" customFormat="false" ht="15" hidden="false" customHeight="false" outlineLevel="0" collapsed="false"/>
    <row r="1366" customFormat="false" ht="15" hidden="false" customHeight="false" outlineLevel="0" collapsed="false"/>
    <row r="1367" customFormat="false" ht="15" hidden="false" customHeight="false" outlineLevel="0" collapsed="false"/>
    <row r="1368" customFormat="false" ht="15" hidden="false" customHeight="false" outlineLevel="0" collapsed="false"/>
    <row r="1369" customFormat="false" ht="15" hidden="false" customHeight="false" outlineLevel="0" collapsed="false"/>
    <row r="1370" customFormat="false" ht="15" hidden="false" customHeight="false" outlineLevel="0" collapsed="false"/>
    <row r="1371" customFormat="false" ht="15" hidden="false" customHeight="false" outlineLevel="0" collapsed="false"/>
    <row r="1372" customFormat="false" ht="15" hidden="false" customHeight="false" outlineLevel="0" collapsed="false"/>
    <row r="1373" customFormat="false" ht="15" hidden="false" customHeight="false" outlineLevel="0" collapsed="false"/>
    <row r="1374" customFormat="false" ht="15" hidden="false" customHeight="false" outlineLevel="0" collapsed="false"/>
    <row r="1375" customFormat="false" ht="15" hidden="false" customHeight="false" outlineLevel="0" collapsed="false"/>
    <row r="1376" customFormat="false" ht="15" hidden="false" customHeight="false" outlineLevel="0" collapsed="false"/>
    <row r="1377" customFormat="false" ht="15" hidden="false" customHeight="false" outlineLevel="0" collapsed="false"/>
    <row r="1378" customFormat="false" ht="15" hidden="false" customHeight="false" outlineLevel="0" collapsed="false"/>
    <row r="1379" customFormat="false" ht="15" hidden="false" customHeight="false" outlineLevel="0" collapsed="false"/>
    <row r="1380" customFormat="false" ht="15" hidden="false" customHeight="false" outlineLevel="0" collapsed="false"/>
    <row r="1381" customFormat="false" ht="15" hidden="false" customHeight="false" outlineLevel="0" collapsed="false"/>
    <row r="1382" customFormat="false" ht="15" hidden="false" customHeight="false" outlineLevel="0" collapsed="false"/>
    <row r="1383" customFormat="false" ht="15" hidden="false" customHeight="false" outlineLevel="0" collapsed="false"/>
    <row r="1384" customFormat="false" ht="15" hidden="false" customHeight="false" outlineLevel="0" collapsed="false"/>
    <row r="1385" customFormat="false" ht="15" hidden="false" customHeight="false" outlineLevel="0" collapsed="false"/>
    <row r="1386" customFormat="false" ht="15" hidden="false" customHeight="false" outlineLevel="0" collapsed="false"/>
    <row r="1387" customFormat="false" ht="15" hidden="false" customHeight="false" outlineLevel="0" collapsed="false"/>
    <row r="1388" customFormat="false" ht="15" hidden="false" customHeight="false" outlineLevel="0" collapsed="false"/>
    <row r="1389" customFormat="false" ht="15" hidden="false" customHeight="false" outlineLevel="0" collapsed="false"/>
    <row r="1390" customFormat="false" ht="15" hidden="false" customHeight="false" outlineLevel="0" collapsed="false"/>
    <row r="1391" customFormat="false" ht="15" hidden="false" customHeight="false" outlineLevel="0" collapsed="false"/>
    <row r="1392" customFormat="false" ht="15" hidden="false" customHeight="false" outlineLevel="0" collapsed="false"/>
    <row r="1393" customFormat="false" ht="15" hidden="false" customHeight="false" outlineLevel="0" collapsed="false"/>
    <row r="1394" customFormat="false" ht="15" hidden="false" customHeight="false" outlineLevel="0" collapsed="false"/>
    <row r="1395" customFormat="false" ht="15" hidden="false" customHeight="false" outlineLevel="0" collapsed="false"/>
    <row r="1396" customFormat="false" ht="15" hidden="false" customHeight="false" outlineLevel="0" collapsed="false"/>
    <row r="1397" customFormat="false" ht="15" hidden="false" customHeight="false" outlineLevel="0" collapsed="false"/>
    <row r="1398" customFormat="false" ht="15" hidden="false" customHeight="false" outlineLevel="0" collapsed="false"/>
    <row r="1399" customFormat="false" ht="15" hidden="false" customHeight="false" outlineLevel="0" collapsed="false"/>
    <row r="1400" customFormat="false" ht="15" hidden="false" customHeight="false" outlineLevel="0" collapsed="false"/>
    <row r="1401" customFormat="false" ht="15" hidden="false" customHeight="false" outlineLevel="0" collapsed="false"/>
    <row r="1402" customFormat="false" ht="15" hidden="false" customHeight="false" outlineLevel="0" collapsed="false"/>
    <row r="1403" customFormat="false" ht="15" hidden="false" customHeight="false" outlineLevel="0" collapsed="false"/>
    <row r="1404" customFormat="false" ht="15" hidden="false" customHeight="false" outlineLevel="0" collapsed="false"/>
    <row r="1405" customFormat="false" ht="15" hidden="false" customHeight="false" outlineLevel="0" collapsed="false"/>
    <row r="1406" customFormat="false" ht="15" hidden="false" customHeight="false" outlineLevel="0" collapsed="false"/>
    <row r="1407" customFormat="false" ht="15" hidden="false" customHeight="false" outlineLevel="0" collapsed="false"/>
    <row r="1408" customFormat="false" ht="15" hidden="false" customHeight="false" outlineLevel="0" collapsed="false"/>
    <row r="1409" customFormat="false" ht="15" hidden="false" customHeight="false" outlineLevel="0" collapsed="false"/>
    <row r="1410" customFormat="false" ht="15" hidden="false" customHeight="false" outlineLevel="0" collapsed="false"/>
    <row r="1411" customFormat="false" ht="15" hidden="false" customHeight="false" outlineLevel="0" collapsed="false"/>
    <row r="1412" customFormat="false" ht="15" hidden="false" customHeight="false" outlineLevel="0" collapsed="false"/>
    <row r="1413" customFormat="false" ht="15" hidden="false" customHeight="false" outlineLevel="0" collapsed="false"/>
    <row r="1414" customFormat="false" ht="15" hidden="false" customHeight="false" outlineLevel="0" collapsed="false"/>
    <row r="1415" customFormat="false" ht="15" hidden="false" customHeight="false" outlineLevel="0" collapsed="false"/>
    <row r="1416" customFormat="false" ht="15" hidden="false" customHeight="false" outlineLevel="0" collapsed="false"/>
    <row r="1417" customFormat="false" ht="15" hidden="false" customHeight="false" outlineLevel="0" collapsed="false"/>
    <row r="1418" customFormat="false" ht="15" hidden="false" customHeight="false" outlineLevel="0" collapsed="false"/>
    <row r="1419" customFormat="false" ht="15" hidden="false" customHeight="false" outlineLevel="0" collapsed="false"/>
    <row r="1420" customFormat="false" ht="15" hidden="false" customHeight="false" outlineLevel="0" collapsed="false"/>
    <row r="1421" customFormat="false" ht="15" hidden="false" customHeight="false" outlineLevel="0" collapsed="false"/>
    <row r="1422" customFormat="false" ht="15" hidden="false" customHeight="false" outlineLevel="0" collapsed="false"/>
    <row r="1423" customFormat="false" ht="15" hidden="false" customHeight="false" outlineLevel="0" collapsed="false"/>
    <row r="1424" customFormat="false" ht="15" hidden="false" customHeight="false" outlineLevel="0" collapsed="false"/>
    <row r="1425" customFormat="false" ht="15" hidden="false" customHeight="false" outlineLevel="0" collapsed="false"/>
    <row r="1426" customFormat="false" ht="15" hidden="false" customHeight="false" outlineLevel="0" collapsed="false"/>
    <row r="1427" customFormat="false" ht="15" hidden="false" customHeight="false" outlineLevel="0" collapsed="false"/>
    <row r="1428" customFormat="false" ht="15" hidden="false" customHeight="false" outlineLevel="0" collapsed="false"/>
    <row r="1429" customFormat="false" ht="15" hidden="false" customHeight="false" outlineLevel="0" collapsed="false"/>
    <row r="1430" customFormat="false" ht="15" hidden="false" customHeight="false" outlineLevel="0" collapsed="false"/>
    <row r="1431" customFormat="false" ht="15" hidden="false" customHeight="false" outlineLevel="0" collapsed="false"/>
    <row r="1432" customFormat="false" ht="15" hidden="false" customHeight="false" outlineLevel="0" collapsed="false"/>
    <row r="1433" customFormat="false" ht="15" hidden="false" customHeight="false" outlineLevel="0" collapsed="false"/>
    <row r="1434" customFormat="false" ht="15" hidden="false" customHeight="false" outlineLevel="0" collapsed="false"/>
    <row r="1435" customFormat="false" ht="15" hidden="false" customHeight="false" outlineLevel="0" collapsed="false"/>
    <row r="1436" customFormat="false" ht="15" hidden="false" customHeight="false" outlineLevel="0" collapsed="false"/>
    <row r="1437" customFormat="false" ht="15" hidden="false" customHeight="false" outlineLevel="0" collapsed="false"/>
    <row r="1438" customFormat="false" ht="15" hidden="false" customHeight="false" outlineLevel="0" collapsed="false"/>
    <row r="1439" customFormat="false" ht="15" hidden="false" customHeight="false" outlineLevel="0" collapsed="false"/>
    <row r="1440" customFormat="false" ht="15" hidden="false" customHeight="false" outlineLevel="0" collapsed="false"/>
    <row r="1441" customFormat="false" ht="15" hidden="false" customHeight="false" outlineLevel="0" collapsed="false"/>
    <row r="1442" customFormat="false" ht="15" hidden="false" customHeight="false" outlineLevel="0" collapsed="false"/>
    <row r="1443" customFormat="false" ht="15" hidden="false" customHeight="false" outlineLevel="0" collapsed="false"/>
    <row r="1444" customFormat="false" ht="15" hidden="false" customHeight="false" outlineLevel="0" collapsed="false"/>
    <row r="1445" customFormat="false" ht="15" hidden="false" customHeight="false" outlineLevel="0" collapsed="false"/>
    <row r="1446" customFormat="false" ht="15" hidden="false" customHeight="false" outlineLevel="0" collapsed="false"/>
    <row r="1447" customFormat="false" ht="15" hidden="false" customHeight="false" outlineLevel="0" collapsed="false"/>
    <row r="1448" customFormat="false" ht="15" hidden="false" customHeight="false" outlineLevel="0" collapsed="false"/>
    <row r="1449" customFormat="false" ht="15" hidden="false" customHeight="false" outlineLevel="0" collapsed="false"/>
    <row r="1450" customFormat="false" ht="15" hidden="false" customHeight="false" outlineLevel="0" collapsed="false"/>
    <row r="1451" customFormat="false" ht="15" hidden="false" customHeight="false" outlineLevel="0" collapsed="false"/>
    <row r="1452" customFormat="false" ht="15" hidden="false" customHeight="false" outlineLevel="0" collapsed="false"/>
    <row r="1453" customFormat="false" ht="15" hidden="false" customHeight="false" outlineLevel="0" collapsed="false"/>
    <row r="1454" customFormat="false" ht="15" hidden="false" customHeight="false" outlineLevel="0" collapsed="false"/>
    <row r="1455" customFormat="false" ht="15" hidden="false" customHeight="false" outlineLevel="0" collapsed="false"/>
    <row r="1456" customFormat="false" ht="15" hidden="false" customHeight="false" outlineLevel="0" collapsed="false"/>
    <row r="1457" customFormat="false" ht="15" hidden="false" customHeight="false" outlineLevel="0" collapsed="false"/>
    <row r="1458" customFormat="false" ht="15" hidden="false" customHeight="false" outlineLevel="0" collapsed="false"/>
    <row r="1459" customFormat="false" ht="15" hidden="false" customHeight="false" outlineLevel="0" collapsed="false"/>
    <row r="1460" customFormat="false" ht="15" hidden="false" customHeight="false" outlineLevel="0" collapsed="false"/>
    <row r="1461" customFormat="false" ht="15" hidden="false" customHeight="false" outlineLevel="0" collapsed="false"/>
    <row r="1462" customFormat="false" ht="15" hidden="false" customHeight="false" outlineLevel="0" collapsed="false"/>
    <row r="1463" customFormat="false" ht="15" hidden="false" customHeight="false" outlineLevel="0" collapsed="false"/>
    <row r="1464" customFormat="false" ht="15" hidden="false" customHeight="false" outlineLevel="0" collapsed="false"/>
    <row r="1465" customFormat="false" ht="15" hidden="false" customHeight="false" outlineLevel="0" collapsed="false"/>
    <row r="1466" customFormat="false" ht="15" hidden="false" customHeight="false" outlineLevel="0" collapsed="false"/>
    <row r="1467" customFormat="false" ht="15" hidden="false" customHeight="false" outlineLevel="0" collapsed="false"/>
    <row r="1468" customFormat="false" ht="15" hidden="false" customHeight="false" outlineLevel="0" collapsed="false"/>
    <row r="1469" customFormat="false" ht="15" hidden="false" customHeight="false" outlineLevel="0" collapsed="false"/>
    <row r="1470" customFormat="false" ht="15" hidden="false" customHeight="false" outlineLevel="0" collapsed="false"/>
    <row r="1471" customFormat="false" ht="15" hidden="false" customHeight="false" outlineLevel="0" collapsed="false"/>
    <row r="1472" customFormat="false" ht="15" hidden="false" customHeight="false" outlineLevel="0" collapsed="false"/>
    <row r="1473" customFormat="false" ht="15" hidden="false" customHeight="false" outlineLevel="0" collapsed="false"/>
    <row r="1474" customFormat="false" ht="15" hidden="false" customHeight="false" outlineLevel="0" collapsed="false"/>
    <row r="1475" customFormat="false" ht="15" hidden="false" customHeight="false" outlineLevel="0" collapsed="false"/>
    <row r="1476" customFormat="false" ht="15" hidden="false" customHeight="false" outlineLevel="0" collapsed="false"/>
    <row r="1477" customFormat="false" ht="15" hidden="false" customHeight="false" outlineLevel="0" collapsed="false"/>
    <row r="1478" customFormat="false" ht="15" hidden="false" customHeight="false" outlineLevel="0" collapsed="false"/>
    <row r="1479" customFormat="false" ht="15" hidden="false" customHeight="false" outlineLevel="0" collapsed="false"/>
    <row r="1480" customFormat="false" ht="15" hidden="false" customHeight="false" outlineLevel="0" collapsed="false"/>
    <row r="1481" customFormat="false" ht="15" hidden="false" customHeight="false" outlineLevel="0" collapsed="false"/>
    <row r="1482" customFormat="false" ht="15" hidden="false" customHeight="false" outlineLevel="0" collapsed="false"/>
    <row r="1483" customFormat="false" ht="15" hidden="false" customHeight="false" outlineLevel="0" collapsed="false"/>
    <row r="1484" customFormat="false" ht="15" hidden="false" customHeight="false" outlineLevel="0" collapsed="false"/>
    <row r="1485" customFormat="false" ht="15" hidden="false" customHeight="false" outlineLevel="0" collapsed="false"/>
    <row r="1486" customFormat="false" ht="15" hidden="false" customHeight="false" outlineLevel="0" collapsed="false"/>
    <row r="1487" customFormat="false" ht="15" hidden="false" customHeight="false" outlineLevel="0" collapsed="false"/>
    <row r="1488" customFormat="false" ht="15" hidden="false" customHeight="false" outlineLevel="0" collapsed="false"/>
    <row r="1489" customFormat="false" ht="15" hidden="false" customHeight="false" outlineLevel="0" collapsed="false"/>
    <row r="1490" customFormat="false" ht="15" hidden="false" customHeight="false" outlineLevel="0" collapsed="false"/>
    <row r="1491" customFormat="false" ht="15" hidden="false" customHeight="false" outlineLevel="0" collapsed="false"/>
    <row r="1492" customFormat="false" ht="15" hidden="false" customHeight="false" outlineLevel="0" collapsed="false"/>
    <row r="1493" customFormat="false" ht="15" hidden="false" customHeight="false" outlineLevel="0" collapsed="false"/>
    <row r="1494" customFormat="false" ht="15" hidden="false" customHeight="false" outlineLevel="0" collapsed="false"/>
    <row r="1495" customFormat="false" ht="15" hidden="false" customHeight="false" outlineLevel="0" collapsed="false"/>
    <row r="1496" customFormat="false" ht="15" hidden="false" customHeight="false" outlineLevel="0" collapsed="false"/>
    <row r="1497" customFormat="false" ht="15" hidden="false" customHeight="false" outlineLevel="0" collapsed="false"/>
    <row r="1498" customFormat="false" ht="15" hidden="false" customHeight="false" outlineLevel="0" collapsed="false"/>
    <row r="1499" customFormat="false" ht="15" hidden="false" customHeight="false" outlineLevel="0" collapsed="false"/>
    <row r="1500" customFormat="false" ht="15" hidden="false" customHeight="false" outlineLevel="0" collapsed="false"/>
    <row r="1501" customFormat="false" ht="15" hidden="false" customHeight="false" outlineLevel="0" collapsed="false"/>
    <row r="1502" customFormat="false" ht="15" hidden="false" customHeight="false" outlineLevel="0" collapsed="false"/>
    <row r="1503" customFormat="false" ht="15" hidden="false" customHeight="false" outlineLevel="0" collapsed="false"/>
    <row r="1504" customFormat="false" ht="15" hidden="false" customHeight="false" outlineLevel="0" collapsed="false"/>
    <row r="1505" customFormat="false" ht="15" hidden="false" customHeight="false" outlineLevel="0" collapsed="false"/>
    <row r="1506" customFormat="false" ht="15" hidden="false" customHeight="false" outlineLevel="0" collapsed="false"/>
    <row r="1507" customFormat="false" ht="15" hidden="false" customHeight="false" outlineLevel="0" collapsed="false"/>
    <row r="1508" customFormat="false" ht="15" hidden="false" customHeight="false" outlineLevel="0" collapsed="false"/>
    <row r="1509" customFormat="false" ht="15" hidden="false" customHeight="false" outlineLevel="0" collapsed="false"/>
    <row r="1510" customFormat="false" ht="15" hidden="false" customHeight="false" outlineLevel="0" collapsed="false"/>
    <row r="1511" customFormat="false" ht="15" hidden="false" customHeight="false" outlineLevel="0" collapsed="false"/>
    <row r="1512" customFormat="false" ht="15" hidden="false" customHeight="false" outlineLevel="0" collapsed="false"/>
    <row r="1513" customFormat="false" ht="15" hidden="false" customHeight="false" outlineLevel="0" collapsed="false"/>
    <row r="1514" customFormat="false" ht="15" hidden="false" customHeight="false" outlineLevel="0" collapsed="false"/>
    <row r="1515" customFormat="false" ht="15" hidden="false" customHeight="false" outlineLevel="0" collapsed="false"/>
    <row r="1516" customFormat="false" ht="15" hidden="false" customHeight="false" outlineLevel="0" collapsed="false"/>
    <row r="1517" customFormat="false" ht="15" hidden="false" customHeight="false" outlineLevel="0" collapsed="false"/>
    <row r="1518" customFormat="false" ht="15" hidden="false" customHeight="false" outlineLevel="0" collapsed="false"/>
    <row r="1519" customFormat="false" ht="15" hidden="false" customHeight="false" outlineLevel="0" collapsed="false"/>
    <row r="1520" customFormat="false" ht="15" hidden="false" customHeight="false" outlineLevel="0" collapsed="false"/>
    <row r="1521" customFormat="false" ht="15" hidden="false" customHeight="false" outlineLevel="0" collapsed="false"/>
    <row r="1522" customFormat="false" ht="15" hidden="false" customHeight="false" outlineLevel="0" collapsed="false"/>
    <row r="1523" customFormat="false" ht="15" hidden="false" customHeight="false" outlineLevel="0" collapsed="false"/>
    <row r="1524" customFormat="false" ht="15" hidden="false" customHeight="false" outlineLevel="0" collapsed="false"/>
    <row r="1525" customFormat="false" ht="15" hidden="false" customHeight="false" outlineLevel="0" collapsed="false"/>
    <row r="1526" customFormat="false" ht="15" hidden="false" customHeight="false" outlineLevel="0" collapsed="false"/>
    <row r="1527" customFormat="false" ht="15" hidden="false" customHeight="false" outlineLevel="0" collapsed="false"/>
    <row r="1528" customFormat="false" ht="15" hidden="false" customHeight="false" outlineLevel="0" collapsed="false"/>
    <row r="1529" customFormat="false" ht="15" hidden="false" customHeight="false" outlineLevel="0" collapsed="false"/>
    <row r="1530" customFormat="false" ht="15" hidden="false" customHeight="false" outlineLevel="0" collapsed="false"/>
    <row r="1531" customFormat="false" ht="15" hidden="false" customHeight="false" outlineLevel="0" collapsed="false"/>
    <row r="1532" customFormat="false" ht="15" hidden="false" customHeight="false" outlineLevel="0" collapsed="false"/>
    <row r="1533" customFormat="false" ht="15" hidden="false" customHeight="false" outlineLevel="0" collapsed="false"/>
    <row r="1534" customFormat="false" ht="15" hidden="false" customHeight="false" outlineLevel="0" collapsed="false"/>
    <row r="1535" customFormat="false" ht="15" hidden="false" customHeight="false" outlineLevel="0" collapsed="false"/>
    <row r="1536" customFormat="false" ht="15" hidden="false" customHeight="false" outlineLevel="0" collapsed="false"/>
    <row r="1537" customFormat="false" ht="15" hidden="false" customHeight="false" outlineLevel="0" collapsed="false"/>
    <row r="1538" customFormat="false" ht="15" hidden="false" customHeight="false" outlineLevel="0" collapsed="false"/>
    <row r="1539" customFormat="false" ht="15" hidden="false" customHeight="false" outlineLevel="0" collapsed="false"/>
    <row r="1540" customFormat="false" ht="15" hidden="false" customHeight="false" outlineLevel="0" collapsed="false"/>
    <row r="1541" customFormat="false" ht="15" hidden="false" customHeight="false" outlineLevel="0" collapsed="false"/>
    <row r="1542" customFormat="false" ht="15" hidden="false" customHeight="false" outlineLevel="0" collapsed="false"/>
    <row r="1543" customFormat="false" ht="15" hidden="false" customHeight="false" outlineLevel="0" collapsed="false"/>
    <row r="1544" customFormat="false" ht="15" hidden="false" customHeight="false" outlineLevel="0" collapsed="false"/>
    <row r="1545" customFormat="false" ht="15" hidden="false" customHeight="false" outlineLevel="0" collapsed="false"/>
    <row r="1546" customFormat="false" ht="15" hidden="false" customHeight="false" outlineLevel="0" collapsed="false"/>
    <row r="1547" customFormat="false" ht="15" hidden="false" customHeight="false" outlineLevel="0" collapsed="false"/>
    <row r="1548" customFormat="false" ht="15" hidden="false" customHeight="false" outlineLevel="0" collapsed="false"/>
    <row r="1549" customFormat="false" ht="15" hidden="false" customHeight="false" outlineLevel="0" collapsed="false"/>
    <row r="1550" customFormat="false" ht="15" hidden="false" customHeight="false" outlineLevel="0" collapsed="false"/>
    <row r="1551" customFormat="false" ht="15" hidden="false" customHeight="false" outlineLevel="0" collapsed="false"/>
    <row r="1552" customFormat="false" ht="15" hidden="false" customHeight="false" outlineLevel="0" collapsed="false"/>
    <row r="1553" customFormat="false" ht="15" hidden="false" customHeight="false" outlineLevel="0" collapsed="false"/>
    <row r="1554" customFormat="false" ht="15" hidden="false" customHeight="false" outlineLevel="0" collapsed="false"/>
    <row r="1555" customFormat="false" ht="15" hidden="false" customHeight="false" outlineLevel="0" collapsed="false"/>
    <row r="1556" customFormat="false" ht="15" hidden="false" customHeight="false" outlineLevel="0" collapsed="false"/>
    <row r="1557" customFormat="false" ht="15" hidden="false" customHeight="false" outlineLevel="0" collapsed="false"/>
    <row r="1558" customFormat="false" ht="15" hidden="false" customHeight="false" outlineLevel="0" collapsed="false"/>
    <row r="1559" customFormat="false" ht="15" hidden="false" customHeight="false" outlineLevel="0" collapsed="false"/>
    <row r="1560" customFormat="false" ht="15" hidden="false" customHeight="false" outlineLevel="0" collapsed="false"/>
    <row r="1561" customFormat="false" ht="15" hidden="false" customHeight="false" outlineLevel="0" collapsed="false"/>
    <row r="1562" customFormat="false" ht="15" hidden="false" customHeight="false" outlineLevel="0" collapsed="false"/>
    <row r="1563" customFormat="false" ht="15" hidden="false" customHeight="false" outlineLevel="0" collapsed="false"/>
    <row r="1564" customFormat="false" ht="15" hidden="false" customHeight="false" outlineLevel="0" collapsed="false"/>
    <row r="1565" customFormat="false" ht="15" hidden="false" customHeight="false" outlineLevel="0" collapsed="false"/>
    <row r="1566" customFormat="false" ht="15" hidden="false" customHeight="false" outlineLevel="0" collapsed="false"/>
    <row r="1567" customFormat="false" ht="15" hidden="false" customHeight="false" outlineLevel="0" collapsed="false"/>
    <row r="1568" customFormat="false" ht="15" hidden="false" customHeight="false" outlineLevel="0" collapsed="false"/>
    <row r="1569" customFormat="false" ht="15" hidden="false" customHeight="false" outlineLevel="0" collapsed="false"/>
    <row r="1570" customFormat="false" ht="15" hidden="false" customHeight="false" outlineLevel="0" collapsed="false"/>
    <row r="1571" customFormat="false" ht="15" hidden="false" customHeight="false" outlineLevel="0" collapsed="false"/>
    <row r="1572" customFormat="false" ht="15" hidden="false" customHeight="false" outlineLevel="0" collapsed="false"/>
    <row r="1573" customFormat="false" ht="15" hidden="false" customHeight="false" outlineLevel="0" collapsed="false"/>
    <row r="1574" customFormat="false" ht="15" hidden="false" customHeight="false" outlineLevel="0" collapsed="false"/>
    <row r="1575" customFormat="false" ht="15" hidden="false" customHeight="false" outlineLevel="0" collapsed="false"/>
    <row r="1576" customFormat="false" ht="15" hidden="false" customHeight="false" outlineLevel="0" collapsed="false"/>
    <row r="1577" customFormat="false" ht="15" hidden="false" customHeight="false" outlineLevel="0" collapsed="false"/>
    <row r="1578" customFormat="false" ht="15" hidden="false" customHeight="false" outlineLevel="0" collapsed="false"/>
    <row r="1579" customFormat="false" ht="15" hidden="false" customHeight="false" outlineLevel="0" collapsed="false"/>
    <row r="1580" customFormat="false" ht="15" hidden="false" customHeight="false" outlineLevel="0" collapsed="false"/>
    <row r="1581" customFormat="false" ht="15" hidden="false" customHeight="false" outlineLevel="0" collapsed="false"/>
    <row r="1582" customFormat="false" ht="15" hidden="false" customHeight="false" outlineLevel="0" collapsed="false"/>
    <row r="1583" customFormat="false" ht="15" hidden="false" customHeight="false" outlineLevel="0" collapsed="false"/>
    <row r="1584" customFormat="false" ht="15" hidden="false" customHeight="false" outlineLevel="0" collapsed="false"/>
    <row r="1585" customFormat="false" ht="15" hidden="false" customHeight="false" outlineLevel="0" collapsed="false"/>
    <row r="1586" customFormat="false" ht="15" hidden="false" customHeight="false" outlineLevel="0" collapsed="false"/>
    <row r="1587" customFormat="false" ht="15" hidden="false" customHeight="false" outlineLevel="0" collapsed="false"/>
    <row r="1588" customFormat="false" ht="15" hidden="false" customHeight="false" outlineLevel="0" collapsed="false"/>
    <row r="1589" customFormat="false" ht="15" hidden="false" customHeight="false" outlineLevel="0" collapsed="false"/>
    <row r="1590" customFormat="false" ht="15" hidden="false" customHeight="false" outlineLevel="0" collapsed="false"/>
    <row r="1591" customFormat="false" ht="15" hidden="false" customHeight="false" outlineLevel="0" collapsed="false"/>
    <row r="1592" customFormat="false" ht="15" hidden="false" customHeight="false" outlineLevel="0" collapsed="false"/>
    <row r="1593" customFormat="false" ht="15" hidden="false" customHeight="false" outlineLevel="0" collapsed="false"/>
    <row r="1594" customFormat="false" ht="15" hidden="false" customHeight="false" outlineLevel="0" collapsed="false"/>
    <row r="1595" customFormat="false" ht="15" hidden="false" customHeight="false" outlineLevel="0" collapsed="false"/>
    <row r="1596" customFormat="false" ht="15" hidden="false" customHeight="false" outlineLevel="0" collapsed="false"/>
    <row r="1597" customFormat="false" ht="15" hidden="false" customHeight="false" outlineLevel="0" collapsed="false"/>
    <row r="1598" customFormat="false" ht="15" hidden="false" customHeight="false" outlineLevel="0" collapsed="false"/>
    <row r="1599" customFormat="false" ht="15" hidden="false" customHeight="false" outlineLevel="0" collapsed="false"/>
    <row r="1600" customFormat="false" ht="15" hidden="false" customHeight="false" outlineLevel="0" collapsed="false"/>
    <row r="1601" customFormat="false" ht="15" hidden="false" customHeight="false" outlineLevel="0" collapsed="false"/>
    <row r="1602" customFormat="false" ht="15" hidden="false" customHeight="false" outlineLevel="0" collapsed="false"/>
    <row r="1603" customFormat="false" ht="15" hidden="false" customHeight="false" outlineLevel="0" collapsed="false"/>
    <row r="1604" customFormat="false" ht="15" hidden="false" customHeight="false" outlineLevel="0" collapsed="false"/>
    <row r="1605" customFormat="false" ht="15" hidden="false" customHeight="false" outlineLevel="0" collapsed="false"/>
    <row r="1606" customFormat="false" ht="15" hidden="false" customHeight="false" outlineLevel="0" collapsed="false"/>
    <row r="1607" customFormat="false" ht="15" hidden="false" customHeight="false" outlineLevel="0" collapsed="false"/>
    <row r="1608" customFormat="false" ht="15" hidden="false" customHeight="false" outlineLevel="0" collapsed="false"/>
    <row r="1609" customFormat="false" ht="15" hidden="false" customHeight="false" outlineLevel="0" collapsed="false"/>
    <row r="1610" customFormat="false" ht="15" hidden="false" customHeight="false" outlineLevel="0" collapsed="false"/>
    <row r="1611" customFormat="false" ht="15" hidden="false" customHeight="false" outlineLevel="0" collapsed="false"/>
    <row r="1612" customFormat="false" ht="15" hidden="false" customHeight="false" outlineLevel="0" collapsed="false"/>
    <row r="1613" customFormat="false" ht="15" hidden="false" customHeight="false" outlineLevel="0" collapsed="false"/>
    <row r="1614" customFormat="false" ht="15" hidden="false" customHeight="false" outlineLevel="0" collapsed="false"/>
    <row r="1615" customFormat="false" ht="15" hidden="false" customHeight="false" outlineLevel="0" collapsed="false"/>
    <row r="1616" customFormat="false" ht="15" hidden="false" customHeight="false" outlineLevel="0" collapsed="false"/>
    <row r="1617" customFormat="false" ht="15" hidden="false" customHeight="false" outlineLevel="0" collapsed="false"/>
    <row r="1618" customFormat="false" ht="15" hidden="false" customHeight="false" outlineLevel="0" collapsed="false"/>
    <row r="1619" customFormat="false" ht="15" hidden="false" customHeight="false" outlineLevel="0" collapsed="false"/>
    <row r="1620" customFormat="false" ht="15" hidden="false" customHeight="false" outlineLevel="0" collapsed="false"/>
    <row r="1621" customFormat="false" ht="15" hidden="false" customHeight="false" outlineLevel="0" collapsed="false"/>
    <row r="1622" customFormat="false" ht="15" hidden="false" customHeight="false" outlineLevel="0" collapsed="false"/>
    <row r="1623" customFormat="false" ht="15" hidden="false" customHeight="false" outlineLevel="0" collapsed="false"/>
    <row r="1624" customFormat="false" ht="15" hidden="false" customHeight="false" outlineLevel="0" collapsed="false"/>
    <row r="1625" customFormat="false" ht="15" hidden="false" customHeight="false" outlineLevel="0" collapsed="false"/>
    <row r="1626" customFormat="false" ht="15" hidden="false" customHeight="false" outlineLevel="0" collapsed="false"/>
    <row r="1627" customFormat="false" ht="15" hidden="false" customHeight="false" outlineLevel="0" collapsed="false"/>
    <row r="1628" customFormat="false" ht="15" hidden="false" customHeight="false" outlineLevel="0" collapsed="false"/>
    <row r="1629" customFormat="false" ht="15" hidden="false" customHeight="false" outlineLevel="0" collapsed="false"/>
    <row r="1630" customFormat="false" ht="15" hidden="false" customHeight="false" outlineLevel="0" collapsed="false"/>
    <row r="1631" customFormat="false" ht="15" hidden="false" customHeight="false" outlineLevel="0" collapsed="false"/>
    <row r="1632" customFormat="false" ht="15" hidden="false" customHeight="false" outlineLevel="0" collapsed="false"/>
    <row r="1633" customFormat="false" ht="15" hidden="false" customHeight="false" outlineLevel="0" collapsed="false"/>
    <row r="1634" customFormat="false" ht="15" hidden="false" customHeight="false" outlineLevel="0" collapsed="false"/>
    <row r="1635" customFormat="false" ht="15" hidden="false" customHeight="false" outlineLevel="0" collapsed="false"/>
    <row r="1636" customFormat="false" ht="15" hidden="false" customHeight="false" outlineLevel="0" collapsed="false"/>
    <row r="1637" customFormat="false" ht="15" hidden="false" customHeight="false" outlineLevel="0" collapsed="false"/>
    <row r="1638" customFormat="false" ht="15" hidden="false" customHeight="false" outlineLevel="0" collapsed="false"/>
    <row r="1639" customFormat="false" ht="15" hidden="false" customHeight="false" outlineLevel="0" collapsed="false"/>
    <row r="1640" customFormat="false" ht="15" hidden="false" customHeight="false" outlineLevel="0" collapsed="false"/>
    <row r="1641" customFormat="false" ht="15" hidden="false" customHeight="false" outlineLevel="0" collapsed="false"/>
    <row r="1642" customFormat="false" ht="15" hidden="false" customHeight="false" outlineLevel="0" collapsed="false"/>
    <row r="1643" customFormat="false" ht="15" hidden="false" customHeight="false" outlineLevel="0" collapsed="false"/>
    <row r="1644" customFormat="false" ht="15" hidden="false" customHeight="false" outlineLevel="0" collapsed="false"/>
    <row r="1645" customFormat="false" ht="15" hidden="false" customHeight="false" outlineLevel="0" collapsed="false"/>
    <row r="1646" customFormat="false" ht="15" hidden="false" customHeight="false" outlineLevel="0" collapsed="false"/>
    <row r="1647" customFormat="false" ht="15" hidden="false" customHeight="false" outlineLevel="0" collapsed="false"/>
    <row r="1648" customFormat="false" ht="15" hidden="false" customHeight="false" outlineLevel="0" collapsed="false"/>
    <row r="1649" customFormat="false" ht="15" hidden="false" customHeight="false" outlineLevel="0" collapsed="false"/>
    <row r="1650" customFormat="false" ht="15" hidden="false" customHeight="false" outlineLevel="0" collapsed="false"/>
    <row r="1651" customFormat="false" ht="15" hidden="false" customHeight="false" outlineLevel="0" collapsed="false"/>
    <row r="1652" customFormat="false" ht="15" hidden="false" customHeight="false" outlineLevel="0" collapsed="false"/>
    <row r="1653" customFormat="false" ht="15" hidden="false" customHeight="false" outlineLevel="0" collapsed="false"/>
    <row r="1654" customFormat="false" ht="15" hidden="false" customHeight="false" outlineLevel="0" collapsed="false"/>
    <row r="1655" customFormat="false" ht="15" hidden="false" customHeight="false" outlineLevel="0" collapsed="false"/>
    <row r="1656" customFormat="false" ht="15" hidden="false" customHeight="false" outlineLevel="0" collapsed="false"/>
    <row r="1657" customFormat="false" ht="15" hidden="false" customHeight="false" outlineLevel="0" collapsed="false"/>
    <row r="1658" customFormat="false" ht="15" hidden="false" customHeight="false" outlineLevel="0" collapsed="false"/>
    <row r="1659" customFormat="false" ht="15" hidden="false" customHeight="false" outlineLevel="0" collapsed="false"/>
    <row r="1660" customFormat="false" ht="15" hidden="false" customHeight="false" outlineLevel="0" collapsed="false"/>
    <row r="1661" customFormat="false" ht="15" hidden="false" customHeight="false" outlineLevel="0" collapsed="false"/>
    <row r="1662" customFormat="false" ht="15" hidden="false" customHeight="false" outlineLevel="0" collapsed="false"/>
    <row r="1663" customFormat="false" ht="15" hidden="false" customHeight="false" outlineLevel="0" collapsed="false"/>
    <row r="1664" customFormat="false" ht="15" hidden="false" customHeight="false" outlineLevel="0" collapsed="false"/>
    <row r="1665" customFormat="false" ht="15" hidden="false" customHeight="false" outlineLevel="0" collapsed="false"/>
    <row r="1666" customFormat="false" ht="15" hidden="false" customHeight="false" outlineLevel="0" collapsed="false"/>
    <row r="1667" customFormat="false" ht="15" hidden="false" customHeight="false" outlineLevel="0" collapsed="false"/>
    <row r="1668" customFormat="false" ht="15" hidden="false" customHeight="false" outlineLevel="0" collapsed="false"/>
    <row r="1669" customFormat="false" ht="15" hidden="false" customHeight="false" outlineLevel="0" collapsed="false"/>
    <row r="1670" customFormat="false" ht="15" hidden="false" customHeight="false" outlineLevel="0" collapsed="false"/>
    <row r="1671" customFormat="false" ht="15" hidden="false" customHeight="false" outlineLevel="0" collapsed="false"/>
    <row r="1672" customFormat="false" ht="15" hidden="false" customHeight="false" outlineLevel="0" collapsed="false"/>
    <row r="1673" customFormat="false" ht="15" hidden="false" customHeight="false" outlineLevel="0" collapsed="false"/>
    <row r="1674" customFormat="false" ht="15" hidden="false" customHeight="false" outlineLevel="0" collapsed="false"/>
    <row r="1675" customFormat="false" ht="15" hidden="false" customHeight="false" outlineLevel="0" collapsed="false"/>
    <row r="1676" customFormat="false" ht="15" hidden="false" customHeight="false" outlineLevel="0" collapsed="false"/>
    <row r="1677" customFormat="false" ht="15" hidden="false" customHeight="false" outlineLevel="0" collapsed="false"/>
    <row r="1678" customFormat="false" ht="15" hidden="false" customHeight="false" outlineLevel="0" collapsed="false"/>
    <row r="1679" customFormat="false" ht="15" hidden="false" customHeight="false" outlineLevel="0" collapsed="false"/>
    <row r="1680" customFormat="false" ht="15" hidden="false" customHeight="false" outlineLevel="0" collapsed="false"/>
    <row r="1681" customFormat="false" ht="15" hidden="false" customHeight="false" outlineLevel="0" collapsed="false"/>
    <row r="1682" customFormat="false" ht="15" hidden="false" customHeight="false" outlineLevel="0" collapsed="false"/>
    <row r="1683" customFormat="false" ht="15" hidden="false" customHeight="false" outlineLevel="0" collapsed="false"/>
    <row r="1684" customFormat="false" ht="15" hidden="false" customHeight="false" outlineLevel="0" collapsed="false"/>
    <row r="1685" customFormat="false" ht="15" hidden="false" customHeight="false" outlineLevel="0" collapsed="false"/>
    <row r="1686" customFormat="false" ht="15" hidden="false" customHeight="false" outlineLevel="0" collapsed="false"/>
    <row r="1687" customFormat="false" ht="15" hidden="false" customHeight="false" outlineLevel="0" collapsed="false"/>
    <row r="1688" customFormat="false" ht="15" hidden="false" customHeight="false" outlineLevel="0" collapsed="false"/>
    <row r="1689" customFormat="false" ht="15" hidden="false" customHeight="false" outlineLevel="0" collapsed="false"/>
    <row r="1690" customFormat="false" ht="15" hidden="false" customHeight="false" outlineLevel="0" collapsed="false"/>
    <row r="1691" customFormat="false" ht="15" hidden="false" customHeight="false" outlineLevel="0" collapsed="false"/>
    <row r="1692" customFormat="false" ht="15" hidden="false" customHeight="false" outlineLevel="0" collapsed="false"/>
    <row r="1693" customFormat="false" ht="15" hidden="false" customHeight="false" outlineLevel="0" collapsed="false"/>
    <row r="1694" customFormat="false" ht="15" hidden="false" customHeight="false" outlineLevel="0" collapsed="false"/>
    <row r="1695" customFormat="false" ht="15" hidden="false" customHeight="false" outlineLevel="0" collapsed="false"/>
    <row r="1696" customFormat="false" ht="15" hidden="false" customHeight="false" outlineLevel="0" collapsed="false"/>
    <row r="1697" customFormat="false" ht="15" hidden="false" customHeight="false" outlineLevel="0" collapsed="false"/>
    <row r="1698" customFormat="false" ht="15" hidden="false" customHeight="false" outlineLevel="0" collapsed="false"/>
    <row r="1699" customFormat="false" ht="15" hidden="false" customHeight="false" outlineLevel="0" collapsed="false"/>
    <row r="1700" customFormat="false" ht="15" hidden="false" customHeight="false" outlineLevel="0" collapsed="false"/>
    <row r="1701" customFormat="false" ht="15" hidden="false" customHeight="false" outlineLevel="0" collapsed="false"/>
    <row r="1702" customFormat="false" ht="15" hidden="false" customHeight="false" outlineLevel="0" collapsed="false"/>
    <row r="1703" customFormat="false" ht="15" hidden="false" customHeight="false" outlineLevel="0" collapsed="false"/>
    <row r="1704" customFormat="false" ht="15" hidden="false" customHeight="false" outlineLevel="0" collapsed="false"/>
    <row r="1705" customFormat="false" ht="15" hidden="false" customHeight="false" outlineLevel="0" collapsed="false"/>
    <row r="1706" customFormat="false" ht="15" hidden="false" customHeight="false" outlineLevel="0" collapsed="false"/>
    <row r="1707" customFormat="false" ht="15" hidden="false" customHeight="false" outlineLevel="0" collapsed="false"/>
    <row r="1708" customFormat="false" ht="15" hidden="false" customHeight="false" outlineLevel="0" collapsed="false"/>
    <row r="1709" customFormat="false" ht="15" hidden="false" customHeight="false" outlineLevel="0" collapsed="false"/>
    <row r="1710" customFormat="false" ht="15" hidden="false" customHeight="false" outlineLevel="0" collapsed="false"/>
    <row r="1711" customFormat="false" ht="15" hidden="false" customHeight="false" outlineLevel="0" collapsed="false"/>
    <row r="1712" customFormat="false" ht="15" hidden="false" customHeight="false" outlineLevel="0" collapsed="false"/>
    <row r="1713" customFormat="false" ht="15" hidden="false" customHeight="false" outlineLevel="0" collapsed="false"/>
    <row r="1714" customFormat="false" ht="15" hidden="false" customHeight="false" outlineLevel="0" collapsed="false"/>
    <row r="1715" customFormat="false" ht="15" hidden="false" customHeight="false" outlineLevel="0" collapsed="false"/>
    <row r="1716" customFormat="false" ht="15" hidden="false" customHeight="false" outlineLevel="0" collapsed="false"/>
    <row r="1717" customFormat="false" ht="15" hidden="false" customHeight="false" outlineLevel="0" collapsed="false"/>
    <row r="1718" customFormat="false" ht="15" hidden="false" customHeight="false" outlineLevel="0" collapsed="false"/>
    <row r="1719" customFormat="false" ht="15" hidden="false" customHeight="false" outlineLevel="0" collapsed="false"/>
    <row r="1720" customFormat="false" ht="15" hidden="false" customHeight="false" outlineLevel="0" collapsed="false"/>
    <row r="1721" customFormat="false" ht="15" hidden="false" customHeight="false" outlineLevel="0" collapsed="false"/>
    <row r="1722" customFormat="false" ht="15" hidden="false" customHeight="false" outlineLevel="0" collapsed="false"/>
    <row r="1723" customFormat="false" ht="15" hidden="false" customHeight="false" outlineLevel="0" collapsed="false"/>
    <row r="1724" customFormat="false" ht="15" hidden="false" customHeight="false" outlineLevel="0" collapsed="false"/>
    <row r="1725" customFormat="false" ht="15" hidden="false" customHeight="false" outlineLevel="0" collapsed="false"/>
    <row r="1726" customFormat="false" ht="15" hidden="false" customHeight="false" outlineLevel="0" collapsed="false"/>
    <row r="1727" customFormat="false" ht="15" hidden="false" customHeight="false" outlineLevel="0" collapsed="false"/>
    <row r="1728" customFormat="false" ht="15" hidden="false" customHeight="false" outlineLevel="0" collapsed="false"/>
    <row r="1729" customFormat="false" ht="15" hidden="false" customHeight="false" outlineLevel="0" collapsed="false"/>
    <row r="1730" customFormat="false" ht="15" hidden="false" customHeight="false" outlineLevel="0" collapsed="false"/>
    <row r="1731" customFormat="false" ht="15" hidden="false" customHeight="false" outlineLevel="0" collapsed="false"/>
    <row r="1732" customFormat="false" ht="15" hidden="false" customHeight="false" outlineLevel="0" collapsed="false"/>
    <row r="1733" customFormat="false" ht="15" hidden="false" customHeight="false" outlineLevel="0" collapsed="false"/>
    <row r="1734" customFormat="false" ht="15" hidden="false" customHeight="false" outlineLevel="0" collapsed="false"/>
    <row r="1735" customFormat="false" ht="15" hidden="false" customHeight="false" outlineLevel="0" collapsed="false"/>
    <row r="1736" customFormat="false" ht="15" hidden="false" customHeight="false" outlineLevel="0" collapsed="false"/>
    <row r="1737" customFormat="false" ht="15" hidden="false" customHeight="false" outlineLevel="0" collapsed="false"/>
    <row r="1738" customFormat="false" ht="15" hidden="false" customHeight="false" outlineLevel="0" collapsed="false"/>
    <row r="1739" customFormat="false" ht="15" hidden="false" customHeight="false" outlineLevel="0" collapsed="false"/>
    <row r="1740" customFormat="false" ht="15" hidden="false" customHeight="false" outlineLevel="0" collapsed="false"/>
    <row r="1741" customFormat="false" ht="15" hidden="false" customHeight="false" outlineLevel="0" collapsed="false"/>
    <row r="1742" customFormat="false" ht="15" hidden="false" customHeight="false" outlineLevel="0" collapsed="false"/>
    <row r="1743" customFormat="false" ht="15" hidden="false" customHeight="false" outlineLevel="0" collapsed="false"/>
    <row r="1744" customFormat="false" ht="15" hidden="false" customHeight="false" outlineLevel="0" collapsed="false"/>
    <row r="1745" customFormat="false" ht="15" hidden="false" customHeight="false" outlineLevel="0" collapsed="false"/>
    <row r="1746" customFormat="false" ht="15" hidden="false" customHeight="false" outlineLevel="0" collapsed="false"/>
    <row r="1747" customFormat="false" ht="15" hidden="false" customHeight="false" outlineLevel="0" collapsed="false"/>
    <row r="1748" customFormat="false" ht="15" hidden="false" customHeight="false" outlineLevel="0" collapsed="false"/>
    <row r="1749" customFormat="false" ht="15" hidden="false" customHeight="false" outlineLevel="0" collapsed="false"/>
    <row r="1750" customFormat="false" ht="15" hidden="false" customHeight="false" outlineLevel="0" collapsed="false"/>
    <row r="1751" customFormat="false" ht="15" hidden="false" customHeight="false" outlineLevel="0" collapsed="false"/>
    <row r="1752" customFormat="false" ht="15" hidden="false" customHeight="false" outlineLevel="0" collapsed="false"/>
    <row r="1753" customFormat="false" ht="15" hidden="false" customHeight="false" outlineLevel="0" collapsed="false"/>
    <row r="1754" customFormat="false" ht="15" hidden="false" customHeight="false" outlineLevel="0" collapsed="false"/>
    <row r="1755" customFormat="false" ht="15" hidden="false" customHeight="false" outlineLevel="0" collapsed="false"/>
    <row r="1756" customFormat="false" ht="15" hidden="false" customHeight="false" outlineLevel="0" collapsed="false"/>
    <row r="1757" customFormat="false" ht="15" hidden="false" customHeight="false" outlineLevel="0" collapsed="false"/>
    <row r="1758" customFormat="false" ht="15" hidden="false" customHeight="false" outlineLevel="0" collapsed="false"/>
    <row r="1759" customFormat="false" ht="15" hidden="false" customHeight="false" outlineLevel="0" collapsed="false"/>
    <row r="1760" customFormat="false" ht="15" hidden="false" customHeight="false" outlineLevel="0" collapsed="false"/>
    <row r="1761" customFormat="false" ht="15" hidden="false" customHeight="false" outlineLevel="0" collapsed="false"/>
    <row r="1762" customFormat="false" ht="15" hidden="false" customHeight="false" outlineLevel="0" collapsed="false"/>
    <row r="1763" customFormat="false" ht="15" hidden="false" customHeight="false" outlineLevel="0" collapsed="false"/>
    <row r="1764" customFormat="false" ht="15" hidden="false" customHeight="false" outlineLevel="0" collapsed="false"/>
    <row r="1765" customFormat="false" ht="15" hidden="false" customHeight="false" outlineLevel="0" collapsed="false"/>
    <row r="1766" customFormat="false" ht="15" hidden="false" customHeight="false" outlineLevel="0" collapsed="false"/>
    <row r="1767" customFormat="false" ht="15" hidden="false" customHeight="false" outlineLevel="0" collapsed="false"/>
    <row r="1768" customFormat="false" ht="15" hidden="false" customHeight="false" outlineLevel="0" collapsed="false"/>
    <row r="1769" customFormat="false" ht="15" hidden="false" customHeight="false" outlineLevel="0" collapsed="false"/>
    <row r="1770" customFormat="false" ht="15" hidden="false" customHeight="false" outlineLevel="0" collapsed="false"/>
    <row r="1771" customFormat="false" ht="15" hidden="false" customHeight="false" outlineLevel="0" collapsed="false"/>
    <row r="1772" customFormat="false" ht="15" hidden="false" customHeight="false" outlineLevel="0" collapsed="false"/>
    <row r="1773" customFormat="false" ht="15" hidden="false" customHeight="false" outlineLevel="0" collapsed="false"/>
    <row r="1774" customFormat="false" ht="15" hidden="false" customHeight="false" outlineLevel="0" collapsed="false"/>
    <row r="1775" customFormat="false" ht="15" hidden="false" customHeight="false" outlineLevel="0" collapsed="false"/>
    <row r="1776" customFormat="false" ht="15" hidden="false" customHeight="false" outlineLevel="0" collapsed="false"/>
    <row r="1777" customFormat="false" ht="15" hidden="false" customHeight="false" outlineLevel="0" collapsed="false"/>
    <row r="1778" customFormat="false" ht="15" hidden="false" customHeight="false" outlineLevel="0" collapsed="false"/>
    <row r="1779" customFormat="false" ht="15" hidden="false" customHeight="false" outlineLevel="0" collapsed="false"/>
    <row r="1780" customFormat="false" ht="15" hidden="false" customHeight="false" outlineLevel="0" collapsed="false"/>
    <row r="1781" customFormat="false" ht="15" hidden="false" customHeight="false" outlineLevel="0" collapsed="false"/>
    <row r="1782" customFormat="false" ht="15" hidden="false" customHeight="false" outlineLevel="0" collapsed="false"/>
    <row r="1783" customFormat="false" ht="15" hidden="false" customHeight="false" outlineLevel="0" collapsed="false"/>
    <row r="1784" customFormat="false" ht="15" hidden="false" customHeight="false" outlineLevel="0" collapsed="false"/>
    <row r="1785" customFormat="false" ht="15" hidden="false" customHeight="false" outlineLevel="0" collapsed="false"/>
    <row r="1786" customFormat="false" ht="15" hidden="false" customHeight="false" outlineLevel="0" collapsed="false"/>
    <row r="1787" customFormat="false" ht="15" hidden="false" customHeight="false" outlineLevel="0" collapsed="false"/>
    <row r="1788" customFormat="false" ht="15" hidden="false" customHeight="false" outlineLevel="0" collapsed="false"/>
    <row r="1789" customFormat="false" ht="15" hidden="false" customHeight="false" outlineLevel="0" collapsed="false"/>
    <row r="1790" customFormat="false" ht="15" hidden="false" customHeight="false" outlineLevel="0" collapsed="false"/>
    <row r="1791" customFormat="false" ht="15" hidden="false" customHeight="false" outlineLevel="0" collapsed="false"/>
    <row r="1792" customFormat="false" ht="15" hidden="false" customHeight="false" outlineLevel="0" collapsed="false"/>
    <row r="1793" customFormat="false" ht="15" hidden="false" customHeight="false" outlineLevel="0" collapsed="false"/>
    <row r="1794" customFormat="false" ht="15" hidden="false" customHeight="false" outlineLevel="0" collapsed="false"/>
    <row r="1795" customFormat="false" ht="15" hidden="false" customHeight="false" outlineLevel="0" collapsed="false"/>
    <row r="1796" customFormat="false" ht="15" hidden="false" customHeight="false" outlineLevel="0" collapsed="false"/>
    <row r="1797" customFormat="false" ht="15" hidden="false" customHeight="false" outlineLevel="0" collapsed="false"/>
    <row r="1798" customFormat="false" ht="15" hidden="false" customHeight="false" outlineLevel="0" collapsed="false"/>
    <row r="1799" customFormat="false" ht="15" hidden="false" customHeight="false" outlineLevel="0" collapsed="false"/>
    <row r="1800" customFormat="false" ht="15" hidden="false" customHeight="false" outlineLevel="0" collapsed="false"/>
    <row r="1801" customFormat="false" ht="15" hidden="false" customHeight="false" outlineLevel="0" collapsed="false"/>
    <row r="1802" customFormat="false" ht="15" hidden="false" customHeight="false" outlineLevel="0" collapsed="false"/>
    <row r="1803" customFormat="false" ht="15" hidden="false" customHeight="false" outlineLevel="0" collapsed="false"/>
    <row r="1804" customFormat="false" ht="15" hidden="false" customHeight="false" outlineLevel="0" collapsed="false"/>
    <row r="1805" customFormat="false" ht="15" hidden="false" customHeight="false" outlineLevel="0" collapsed="false"/>
    <row r="1806" customFormat="false" ht="15" hidden="false" customHeight="false" outlineLevel="0" collapsed="false"/>
    <row r="1807" customFormat="false" ht="15" hidden="false" customHeight="false" outlineLevel="0" collapsed="false"/>
    <row r="1808" customFormat="false" ht="15" hidden="false" customHeight="false" outlineLevel="0" collapsed="false"/>
    <row r="1809" customFormat="false" ht="15" hidden="false" customHeight="false" outlineLevel="0" collapsed="false"/>
    <row r="1810" customFormat="false" ht="15" hidden="false" customHeight="false" outlineLevel="0" collapsed="false"/>
    <row r="1811" customFormat="false" ht="15" hidden="false" customHeight="false" outlineLevel="0" collapsed="false"/>
    <row r="1812" customFormat="false" ht="15" hidden="false" customHeight="false" outlineLevel="0" collapsed="false"/>
    <row r="1813" customFormat="false" ht="15" hidden="false" customHeight="false" outlineLevel="0" collapsed="false"/>
    <row r="1814" customFormat="false" ht="15" hidden="false" customHeight="false" outlineLevel="0" collapsed="false"/>
    <row r="1815" customFormat="false" ht="15" hidden="false" customHeight="false" outlineLevel="0" collapsed="false"/>
    <row r="1816" customFormat="false" ht="15" hidden="false" customHeight="false" outlineLevel="0" collapsed="false"/>
    <row r="1817" customFormat="false" ht="15" hidden="false" customHeight="false" outlineLevel="0" collapsed="false"/>
    <row r="1818" customFormat="false" ht="15" hidden="false" customHeight="false" outlineLevel="0" collapsed="false"/>
    <row r="1819" customFormat="false" ht="15" hidden="false" customHeight="false" outlineLevel="0" collapsed="false"/>
    <row r="1820" customFormat="false" ht="15" hidden="false" customHeight="false" outlineLevel="0" collapsed="false"/>
    <row r="1821" customFormat="false" ht="15" hidden="false" customHeight="false" outlineLevel="0" collapsed="false"/>
    <row r="1822" customFormat="false" ht="15" hidden="false" customHeight="false" outlineLevel="0" collapsed="false"/>
    <row r="1823" customFormat="false" ht="15" hidden="false" customHeight="false" outlineLevel="0" collapsed="false"/>
    <row r="1824" customFormat="false" ht="15" hidden="false" customHeight="false" outlineLevel="0" collapsed="false"/>
    <row r="1825" customFormat="false" ht="15" hidden="false" customHeight="false" outlineLevel="0" collapsed="false"/>
    <row r="1826" customFormat="false" ht="15" hidden="false" customHeight="false" outlineLevel="0" collapsed="false"/>
    <row r="1827" customFormat="false" ht="15" hidden="false" customHeight="false" outlineLevel="0" collapsed="false"/>
    <row r="1828" customFormat="false" ht="15" hidden="false" customHeight="false" outlineLevel="0" collapsed="false"/>
    <row r="1829" customFormat="false" ht="15" hidden="false" customHeight="false" outlineLevel="0" collapsed="false"/>
    <row r="1830" customFormat="false" ht="15" hidden="false" customHeight="false" outlineLevel="0" collapsed="false"/>
    <row r="1831" customFormat="false" ht="15" hidden="false" customHeight="false" outlineLevel="0" collapsed="false"/>
    <row r="1832" customFormat="false" ht="15" hidden="false" customHeight="false" outlineLevel="0" collapsed="false"/>
    <row r="1833" customFormat="false" ht="15" hidden="false" customHeight="false" outlineLevel="0" collapsed="false"/>
    <row r="1834" customFormat="false" ht="15" hidden="false" customHeight="false" outlineLevel="0" collapsed="false"/>
    <row r="1835" customFormat="false" ht="15" hidden="false" customHeight="false" outlineLevel="0" collapsed="false"/>
    <row r="1836" customFormat="false" ht="15" hidden="false" customHeight="false" outlineLevel="0" collapsed="false"/>
    <row r="1837" customFormat="false" ht="15" hidden="false" customHeight="false" outlineLevel="0" collapsed="false"/>
    <row r="1838" customFormat="false" ht="15" hidden="false" customHeight="false" outlineLevel="0" collapsed="false"/>
    <row r="1839" customFormat="false" ht="15" hidden="false" customHeight="false" outlineLevel="0" collapsed="false"/>
    <row r="1840" customFormat="false" ht="15" hidden="false" customHeight="false" outlineLevel="0" collapsed="false"/>
    <row r="1841" customFormat="false" ht="15" hidden="false" customHeight="false" outlineLevel="0" collapsed="false"/>
    <row r="1842" customFormat="false" ht="15" hidden="false" customHeight="false" outlineLevel="0" collapsed="false"/>
    <row r="1843" customFormat="false" ht="15" hidden="false" customHeight="false" outlineLevel="0" collapsed="false"/>
    <row r="1844" customFormat="false" ht="15" hidden="false" customHeight="false" outlineLevel="0" collapsed="false"/>
    <row r="1845" customFormat="false" ht="15" hidden="false" customHeight="false" outlineLevel="0" collapsed="false"/>
    <row r="1846" customFormat="false" ht="15" hidden="false" customHeight="false" outlineLevel="0" collapsed="false"/>
    <row r="1847" customFormat="false" ht="15" hidden="false" customHeight="false" outlineLevel="0" collapsed="false"/>
    <row r="1848" customFormat="false" ht="15" hidden="false" customHeight="false" outlineLevel="0" collapsed="false"/>
    <row r="1849" customFormat="false" ht="15" hidden="false" customHeight="false" outlineLevel="0" collapsed="false"/>
    <row r="1850" customFormat="false" ht="15" hidden="false" customHeight="false" outlineLevel="0" collapsed="false"/>
    <row r="1851" customFormat="false" ht="15" hidden="false" customHeight="false" outlineLevel="0" collapsed="false"/>
    <row r="1852" customFormat="false" ht="15" hidden="false" customHeight="false" outlineLevel="0" collapsed="false"/>
    <row r="1853" customFormat="false" ht="15" hidden="false" customHeight="false" outlineLevel="0" collapsed="false"/>
    <row r="1854" customFormat="false" ht="15" hidden="false" customHeight="false" outlineLevel="0" collapsed="false"/>
    <row r="1855" customFormat="false" ht="15" hidden="false" customHeight="false" outlineLevel="0" collapsed="false"/>
    <row r="1856" customFormat="false" ht="15" hidden="false" customHeight="false" outlineLevel="0" collapsed="false"/>
    <row r="1857" customFormat="false" ht="15" hidden="false" customHeight="false" outlineLevel="0" collapsed="false"/>
    <row r="1858" customFormat="false" ht="15" hidden="false" customHeight="false" outlineLevel="0" collapsed="false"/>
    <row r="1859" customFormat="false" ht="15" hidden="false" customHeight="false" outlineLevel="0" collapsed="false"/>
    <row r="1860" customFormat="false" ht="15" hidden="false" customHeight="false" outlineLevel="0" collapsed="false"/>
    <row r="1861" customFormat="false" ht="15" hidden="false" customHeight="false" outlineLevel="0" collapsed="false"/>
    <row r="1862" customFormat="false" ht="15" hidden="false" customHeight="false" outlineLevel="0" collapsed="false"/>
    <row r="1863" customFormat="false" ht="15" hidden="false" customHeight="false" outlineLevel="0" collapsed="false"/>
    <row r="1864" customFormat="false" ht="15" hidden="false" customHeight="false" outlineLevel="0" collapsed="false"/>
    <row r="1865" customFormat="false" ht="15" hidden="false" customHeight="false" outlineLevel="0" collapsed="false"/>
    <row r="1866" customFormat="false" ht="15" hidden="false" customHeight="false" outlineLevel="0" collapsed="false"/>
    <row r="1867" customFormat="false" ht="15" hidden="false" customHeight="false" outlineLevel="0" collapsed="false"/>
    <row r="1868" customFormat="false" ht="15" hidden="false" customHeight="false" outlineLevel="0" collapsed="false"/>
    <row r="1869" customFormat="false" ht="15" hidden="false" customHeight="false" outlineLevel="0" collapsed="false"/>
    <row r="1870" customFormat="false" ht="15" hidden="false" customHeight="false" outlineLevel="0" collapsed="false"/>
    <row r="1871" customFormat="false" ht="15" hidden="false" customHeight="false" outlineLevel="0" collapsed="false"/>
    <row r="1872" customFormat="false" ht="15" hidden="false" customHeight="false" outlineLevel="0" collapsed="false"/>
    <row r="1873" customFormat="false" ht="15" hidden="false" customHeight="false" outlineLevel="0" collapsed="false"/>
    <row r="1874" customFormat="false" ht="15" hidden="false" customHeight="false" outlineLevel="0" collapsed="false"/>
    <row r="1875" customFormat="false" ht="15" hidden="false" customHeight="false" outlineLevel="0" collapsed="false"/>
    <row r="1876" customFormat="false" ht="15" hidden="false" customHeight="false" outlineLevel="0" collapsed="false"/>
    <row r="1877" customFormat="false" ht="15" hidden="false" customHeight="false" outlineLevel="0" collapsed="false"/>
    <row r="1878" customFormat="false" ht="15" hidden="false" customHeight="false" outlineLevel="0" collapsed="false"/>
    <row r="1879" customFormat="false" ht="15" hidden="false" customHeight="false" outlineLevel="0" collapsed="false"/>
    <row r="1880" customFormat="false" ht="15" hidden="false" customHeight="false" outlineLevel="0" collapsed="false"/>
    <row r="1881" customFormat="false" ht="15" hidden="false" customHeight="false" outlineLevel="0" collapsed="false"/>
    <row r="1882" customFormat="false" ht="15" hidden="false" customHeight="false" outlineLevel="0" collapsed="false"/>
    <row r="1883" customFormat="false" ht="15" hidden="false" customHeight="false" outlineLevel="0" collapsed="false"/>
    <row r="1884" customFormat="false" ht="15" hidden="false" customHeight="false" outlineLevel="0" collapsed="false"/>
    <row r="1885" customFormat="false" ht="15" hidden="false" customHeight="false" outlineLevel="0" collapsed="false"/>
    <row r="1886" customFormat="false" ht="15" hidden="false" customHeight="false" outlineLevel="0" collapsed="false"/>
    <row r="1887" customFormat="false" ht="15" hidden="false" customHeight="false" outlineLevel="0" collapsed="false"/>
    <row r="1888" customFormat="false" ht="15" hidden="false" customHeight="false" outlineLevel="0" collapsed="false"/>
    <row r="1889" customFormat="false" ht="15" hidden="false" customHeight="false" outlineLevel="0" collapsed="false"/>
    <row r="1890" customFormat="false" ht="15" hidden="false" customHeight="false" outlineLevel="0" collapsed="false"/>
    <row r="1891" customFormat="false" ht="15" hidden="false" customHeight="false" outlineLevel="0" collapsed="false"/>
    <row r="1892" customFormat="false" ht="15" hidden="false" customHeight="false" outlineLevel="0" collapsed="false"/>
    <row r="1893" customFormat="false" ht="15" hidden="false" customHeight="false" outlineLevel="0" collapsed="false"/>
    <row r="1894" customFormat="false" ht="15" hidden="false" customHeight="false" outlineLevel="0" collapsed="false"/>
    <row r="1895" customFormat="false" ht="15" hidden="false" customHeight="false" outlineLevel="0" collapsed="false"/>
    <row r="1896" customFormat="false" ht="15" hidden="false" customHeight="false" outlineLevel="0" collapsed="false"/>
    <row r="1897" customFormat="false" ht="15" hidden="false" customHeight="false" outlineLevel="0" collapsed="false"/>
    <row r="1898" customFormat="false" ht="15" hidden="false" customHeight="false" outlineLevel="0" collapsed="false"/>
    <row r="1899" customFormat="false" ht="15" hidden="false" customHeight="false" outlineLevel="0" collapsed="false"/>
    <row r="1900" customFormat="false" ht="15" hidden="false" customHeight="false" outlineLevel="0" collapsed="false"/>
    <row r="1901" customFormat="false" ht="15" hidden="false" customHeight="false" outlineLevel="0" collapsed="false"/>
    <row r="1902" customFormat="false" ht="15" hidden="false" customHeight="false" outlineLevel="0" collapsed="false"/>
    <row r="1903" customFormat="false" ht="15" hidden="false" customHeight="false" outlineLevel="0" collapsed="false"/>
    <row r="1904" customFormat="false" ht="15" hidden="false" customHeight="false" outlineLevel="0" collapsed="false"/>
    <row r="1905" customFormat="false" ht="15" hidden="false" customHeight="false" outlineLevel="0" collapsed="false"/>
    <row r="1906" customFormat="false" ht="15" hidden="false" customHeight="false" outlineLevel="0" collapsed="false"/>
    <row r="1907" customFormat="false" ht="15" hidden="false" customHeight="false" outlineLevel="0" collapsed="false"/>
    <row r="1908" customFormat="false" ht="15" hidden="false" customHeight="false" outlineLevel="0" collapsed="false"/>
    <row r="1909" customFormat="false" ht="15" hidden="false" customHeight="false" outlineLevel="0" collapsed="false"/>
    <row r="1910" customFormat="false" ht="15" hidden="false" customHeight="false" outlineLevel="0" collapsed="false"/>
    <row r="1911" customFormat="false" ht="15" hidden="false" customHeight="false" outlineLevel="0" collapsed="false"/>
    <row r="1912" customFormat="false" ht="15" hidden="false" customHeight="false" outlineLevel="0" collapsed="false"/>
    <row r="1913" customFormat="false" ht="15" hidden="false" customHeight="false" outlineLevel="0" collapsed="false"/>
    <row r="1914" customFormat="false" ht="15" hidden="false" customHeight="false" outlineLevel="0" collapsed="false"/>
    <row r="1915" customFormat="false" ht="15" hidden="false" customHeight="false" outlineLevel="0" collapsed="false"/>
    <row r="1916" customFormat="false" ht="15" hidden="false" customHeight="false" outlineLevel="0" collapsed="false"/>
    <row r="1917" customFormat="false" ht="15" hidden="false" customHeight="false" outlineLevel="0" collapsed="false"/>
    <row r="1918" customFormat="false" ht="15" hidden="false" customHeight="false" outlineLevel="0" collapsed="false"/>
    <row r="1919" customFormat="false" ht="15" hidden="false" customHeight="false" outlineLevel="0" collapsed="false"/>
    <row r="1920" customFormat="false" ht="15" hidden="false" customHeight="false" outlineLevel="0" collapsed="false"/>
    <row r="1921" customFormat="false" ht="15" hidden="false" customHeight="false" outlineLevel="0" collapsed="false"/>
    <row r="1922" customFormat="false" ht="15" hidden="false" customHeight="false" outlineLevel="0" collapsed="false"/>
    <row r="1923" customFormat="false" ht="15" hidden="false" customHeight="false" outlineLevel="0" collapsed="false"/>
    <row r="1924" customFormat="false" ht="15" hidden="false" customHeight="false" outlineLevel="0" collapsed="false"/>
    <row r="1925" customFormat="false" ht="15" hidden="false" customHeight="false" outlineLevel="0" collapsed="false"/>
    <row r="1926" customFormat="false" ht="15" hidden="false" customHeight="false" outlineLevel="0" collapsed="false"/>
    <row r="1927" customFormat="false" ht="15" hidden="false" customHeight="false" outlineLevel="0" collapsed="false"/>
    <row r="1928" customFormat="false" ht="15" hidden="false" customHeight="false" outlineLevel="0" collapsed="false"/>
    <row r="1929" customFormat="false" ht="15" hidden="false" customHeight="false" outlineLevel="0" collapsed="false"/>
    <row r="1930" customFormat="false" ht="15" hidden="false" customHeight="false" outlineLevel="0" collapsed="false"/>
    <row r="1931" customFormat="false" ht="15" hidden="false" customHeight="false" outlineLevel="0" collapsed="false"/>
    <row r="1932" customFormat="false" ht="15" hidden="false" customHeight="false" outlineLevel="0" collapsed="false"/>
    <row r="1933" customFormat="false" ht="15" hidden="false" customHeight="false" outlineLevel="0" collapsed="false"/>
    <row r="1934" customFormat="false" ht="15" hidden="false" customHeight="false" outlineLevel="0" collapsed="false"/>
    <row r="1935" customFormat="false" ht="15" hidden="false" customHeight="false" outlineLevel="0" collapsed="false"/>
    <row r="1936" customFormat="false" ht="15" hidden="false" customHeight="false" outlineLevel="0" collapsed="false"/>
    <row r="1937" customFormat="false" ht="15" hidden="false" customHeight="false" outlineLevel="0" collapsed="false"/>
    <row r="1938" customFormat="false" ht="15" hidden="false" customHeight="false" outlineLevel="0" collapsed="false"/>
    <row r="1939" customFormat="false" ht="15" hidden="false" customHeight="false" outlineLevel="0" collapsed="false"/>
    <row r="1940" customFormat="false" ht="15" hidden="false" customHeight="false" outlineLevel="0" collapsed="false"/>
    <row r="1941" customFormat="false" ht="15" hidden="false" customHeight="false" outlineLevel="0" collapsed="false"/>
    <row r="1942" customFormat="false" ht="15" hidden="false" customHeight="false" outlineLevel="0" collapsed="false"/>
    <row r="1943" customFormat="false" ht="15" hidden="false" customHeight="false" outlineLevel="0" collapsed="false"/>
    <row r="1944" customFormat="false" ht="15" hidden="false" customHeight="false" outlineLevel="0" collapsed="false"/>
    <row r="1945" customFormat="false" ht="15" hidden="false" customHeight="false" outlineLevel="0" collapsed="false"/>
    <row r="1946" customFormat="false" ht="15" hidden="false" customHeight="false" outlineLevel="0" collapsed="false"/>
    <row r="1947" customFormat="false" ht="15" hidden="false" customHeight="false" outlineLevel="0" collapsed="false"/>
    <row r="1948" customFormat="false" ht="15" hidden="false" customHeight="false" outlineLevel="0" collapsed="false"/>
    <row r="1949" customFormat="false" ht="15" hidden="false" customHeight="false" outlineLevel="0" collapsed="false"/>
    <row r="1950" customFormat="false" ht="15" hidden="false" customHeight="false" outlineLevel="0" collapsed="false"/>
    <row r="1951" customFormat="false" ht="15" hidden="false" customHeight="false" outlineLevel="0" collapsed="false"/>
    <row r="1952" customFormat="false" ht="15" hidden="false" customHeight="false" outlineLevel="0" collapsed="false"/>
    <row r="1953" customFormat="false" ht="15" hidden="false" customHeight="false" outlineLevel="0" collapsed="false"/>
    <row r="1954" customFormat="false" ht="15" hidden="false" customHeight="false" outlineLevel="0" collapsed="false"/>
    <row r="1955" customFormat="false" ht="15" hidden="false" customHeight="false" outlineLevel="0" collapsed="false"/>
    <row r="1956" customFormat="false" ht="15" hidden="false" customHeight="false" outlineLevel="0" collapsed="false"/>
    <row r="1957" customFormat="false" ht="15" hidden="false" customHeight="false" outlineLevel="0" collapsed="false"/>
    <row r="1958" customFormat="false" ht="15" hidden="false" customHeight="false" outlineLevel="0" collapsed="false"/>
    <row r="1959" customFormat="false" ht="15" hidden="false" customHeight="false" outlineLevel="0" collapsed="false"/>
    <row r="1960" customFormat="false" ht="15" hidden="false" customHeight="false" outlineLevel="0" collapsed="false"/>
    <row r="1961" customFormat="false" ht="15" hidden="false" customHeight="false" outlineLevel="0" collapsed="false"/>
    <row r="1962" customFormat="false" ht="15" hidden="false" customHeight="false" outlineLevel="0" collapsed="false"/>
    <row r="1963" customFormat="false" ht="15" hidden="false" customHeight="false" outlineLevel="0" collapsed="false"/>
    <row r="1964" customFormat="false" ht="15" hidden="false" customHeight="false" outlineLevel="0" collapsed="false"/>
    <row r="1965" customFormat="false" ht="15" hidden="false" customHeight="false" outlineLevel="0" collapsed="false"/>
    <row r="1966" customFormat="false" ht="15" hidden="false" customHeight="false" outlineLevel="0" collapsed="false"/>
    <row r="1967" customFormat="false" ht="15" hidden="false" customHeight="false" outlineLevel="0" collapsed="false"/>
    <row r="1968" customFormat="false" ht="15" hidden="false" customHeight="false" outlineLevel="0" collapsed="false"/>
    <row r="1969" customFormat="false" ht="15" hidden="false" customHeight="false" outlineLevel="0" collapsed="false"/>
    <row r="1970" customFormat="false" ht="15" hidden="false" customHeight="false" outlineLevel="0" collapsed="false"/>
    <row r="1971" customFormat="false" ht="15" hidden="false" customHeight="false" outlineLevel="0" collapsed="false"/>
    <row r="1972" customFormat="false" ht="15" hidden="false" customHeight="false" outlineLevel="0" collapsed="false"/>
    <row r="1973" customFormat="false" ht="15" hidden="false" customHeight="false" outlineLevel="0" collapsed="false"/>
    <row r="1974" customFormat="false" ht="15" hidden="false" customHeight="false" outlineLevel="0" collapsed="false"/>
    <row r="1975" customFormat="false" ht="15" hidden="false" customHeight="false" outlineLevel="0" collapsed="false"/>
    <row r="1976" customFormat="false" ht="15" hidden="false" customHeight="false" outlineLevel="0" collapsed="false"/>
    <row r="1977" customFormat="false" ht="15" hidden="false" customHeight="false" outlineLevel="0" collapsed="false"/>
    <row r="1978" customFormat="false" ht="15" hidden="false" customHeight="false" outlineLevel="0" collapsed="false"/>
    <row r="1979" customFormat="false" ht="15" hidden="false" customHeight="false" outlineLevel="0" collapsed="false"/>
    <row r="1980" customFormat="false" ht="15" hidden="false" customHeight="false" outlineLevel="0" collapsed="false"/>
    <row r="1981" customFormat="false" ht="15" hidden="false" customHeight="false" outlineLevel="0" collapsed="false"/>
    <row r="1982" customFormat="false" ht="15" hidden="false" customHeight="false" outlineLevel="0" collapsed="false"/>
    <row r="1983" customFormat="false" ht="15" hidden="false" customHeight="false" outlineLevel="0" collapsed="false"/>
    <row r="1984" customFormat="false" ht="15" hidden="false" customHeight="false" outlineLevel="0" collapsed="false"/>
    <row r="1985" customFormat="false" ht="15" hidden="false" customHeight="false" outlineLevel="0" collapsed="false"/>
    <row r="1986" customFormat="false" ht="15" hidden="false" customHeight="false" outlineLevel="0" collapsed="false"/>
    <row r="1987" customFormat="false" ht="15" hidden="false" customHeight="false" outlineLevel="0" collapsed="false"/>
    <row r="1988" customFormat="false" ht="15" hidden="false" customHeight="false" outlineLevel="0" collapsed="false"/>
    <row r="1989" customFormat="false" ht="15" hidden="false" customHeight="false" outlineLevel="0" collapsed="false"/>
    <row r="1990" customFormat="false" ht="15" hidden="false" customHeight="false" outlineLevel="0" collapsed="false"/>
    <row r="1991" customFormat="false" ht="15" hidden="false" customHeight="false" outlineLevel="0" collapsed="false"/>
    <row r="1992" customFormat="false" ht="15" hidden="false" customHeight="false" outlineLevel="0" collapsed="false"/>
    <row r="1993" customFormat="false" ht="15" hidden="false" customHeight="false" outlineLevel="0" collapsed="false"/>
    <row r="1994" customFormat="false" ht="15" hidden="false" customHeight="false" outlineLevel="0" collapsed="false"/>
    <row r="1995" customFormat="false" ht="15" hidden="false" customHeight="false" outlineLevel="0" collapsed="false"/>
    <row r="1996" customFormat="false" ht="15" hidden="false" customHeight="false" outlineLevel="0" collapsed="false"/>
    <row r="1997" customFormat="false" ht="15" hidden="false" customHeight="false" outlineLevel="0" collapsed="false"/>
    <row r="1998" customFormat="false" ht="15" hidden="false" customHeight="false" outlineLevel="0" collapsed="false"/>
    <row r="1999" customFormat="false" ht="15" hidden="false" customHeight="false" outlineLevel="0" collapsed="false"/>
    <row r="2000" customFormat="false" ht="15" hidden="false" customHeight="false" outlineLevel="0" collapsed="false"/>
    <row r="2001" customFormat="false" ht="15" hidden="false" customHeight="false" outlineLevel="0" collapsed="false"/>
    <row r="2002" customFormat="false" ht="15" hidden="false" customHeight="false" outlineLevel="0" collapsed="false"/>
    <row r="2003" customFormat="false" ht="15" hidden="false" customHeight="false" outlineLevel="0" collapsed="false"/>
    <row r="2004" customFormat="false" ht="15" hidden="false" customHeight="false" outlineLevel="0" collapsed="false"/>
    <row r="2005" customFormat="false" ht="15" hidden="false" customHeight="false" outlineLevel="0" collapsed="false"/>
    <row r="2006" customFormat="false" ht="15" hidden="false" customHeight="false" outlineLevel="0" collapsed="false"/>
    <row r="2007" customFormat="false" ht="15" hidden="false" customHeight="false" outlineLevel="0" collapsed="false"/>
    <row r="2008" customFormat="false" ht="15" hidden="false" customHeight="false" outlineLevel="0" collapsed="false"/>
    <row r="2009" customFormat="false" ht="15" hidden="false" customHeight="false" outlineLevel="0" collapsed="false"/>
    <row r="2010" customFormat="false" ht="15" hidden="false" customHeight="false" outlineLevel="0" collapsed="false"/>
    <row r="2011" customFormat="false" ht="15" hidden="false" customHeight="false" outlineLevel="0" collapsed="false"/>
    <row r="2012" customFormat="false" ht="15" hidden="false" customHeight="false" outlineLevel="0" collapsed="false"/>
    <row r="2013" customFormat="false" ht="15" hidden="false" customHeight="false" outlineLevel="0" collapsed="false"/>
    <row r="2014" customFormat="false" ht="15" hidden="false" customHeight="false" outlineLevel="0" collapsed="false"/>
    <row r="2015" customFormat="false" ht="15" hidden="false" customHeight="false" outlineLevel="0" collapsed="false"/>
    <row r="2016" customFormat="false" ht="15" hidden="false" customHeight="false" outlineLevel="0" collapsed="false"/>
    <row r="2017" customFormat="false" ht="15" hidden="false" customHeight="false" outlineLevel="0" collapsed="false"/>
    <row r="2018" customFormat="false" ht="15" hidden="false" customHeight="false" outlineLevel="0" collapsed="false"/>
    <row r="2019" customFormat="false" ht="15" hidden="false" customHeight="false" outlineLevel="0" collapsed="false"/>
    <row r="2020" customFormat="false" ht="15" hidden="false" customHeight="false" outlineLevel="0" collapsed="false"/>
    <row r="2021" customFormat="false" ht="15" hidden="false" customHeight="false" outlineLevel="0" collapsed="false"/>
    <row r="2022" customFormat="false" ht="15" hidden="false" customHeight="false" outlineLevel="0" collapsed="false"/>
    <row r="2023" customFormat="false" ht="15" hidden="false" customHeight="false" outlineLevel="0" collapsed="false"/>
    <row r="2024" customFormat="false" ht="15" hidden="false" customHeight="false" outlineLevel="0" collapsed="false"/>
    <row r="2025" customFormat="false" ht="15" hidden="false" customHeight="false" outlineLevel="0" collapsed="false"/>
    <row r="2026" customFormat="false" ht="15" hidden="false" customHeight="false" outlineLevel="0" collapsed="false"/>
    <row r="2027" customFormat="false" ht="15" hidden="false" customHeight="false" outlineLevel="0" collapsed="false"/>
    <row r="2028" customFormat="false" ht="15" hidden="false" customHeight="false" outlineLevel="0" collapsed="false"/>
    <row r="2029" customFormat="false" ht="15" hidden="false" customHeight="false" outlineLevel="0" collapsed="false"/>
    <row r="2030" customFormat="false" ht="15" hidden="false" customHeight="false" outlineLevel="0" collapsed="false"/>
    <row r="2031" customFormat="false" ht="15" hidden="false" customHeight="false" outlineLevel="0" collapsed="false"/>
    <row r="2032" customFormat="false" ht="15" hidden="false" customHeight="false" outlineLevel="0" collapsed="false"/>
    <row r="2033" customFormat="false" ht="15" hidden="false" customHeight="false" outlineLevel="0" collapsed="false"/>
    <row r="2034" customFormat="false" ht="15" hidden="false" customHeight="false" outlineLevel="0" collapsed="false"/>
    <row r="2035" customFormat="false" ht="15" hidden="false" customHeight="false" outlineLevel="0" collapsed="false"/>
    <row r="2036" customFormat="false" ht="15" hidden="false" customHeight="false" outlineLevel="0" collapsed="false"/>
    <row r="2037" customFormat="false" ht="15" hidden="false" customHeight="false" outlineLevel="0" collapsed="false"/>
    <row r="2038" customFormat="false" ht="15" hidden="false" customHeight="false" outlineLevel="0" collapsed="false"/>
    <row r="2039" customFormat="false" ht="15" hidden="false" customHeight="false" outlineLevel="0" collapsed="false"/>
    <row r="2040" customFormat="false" ht="15" hidden="false" customHeight="false" outlineLevel="0" collapsed="false"/>
    <row r="2041" customFormat="false" ht="15" hidden="false" customHeight="false" outlineLevel="0" collapsed="false"/>
    <row r="2042" customFormat="false" ht="15" hidden="false" customHeight="false" outlineLevel="0" collapsed="false"/>
    <row r="2043" customFormat="false" ht="15" hidden="false" customHeight="false" outlineLevel="0" collapsed="false"/>
    <row r="2044" customFormat="false" ht="15" hidden="false" customHeight="false" outlineLevel="0" collapsed="false"/>
    <row r="2045" customFormat="false" ht="15" hidden="false" customHeight="false" outlineLevel="0" collapsed="false"/>
    <row r="2046" customFormat="false" ht="15" hidden="false" customHeight="false" outlineLevel="0" collapsed="false"/>
    <row r="2047" customFormat="false" ht="15" hidden="false" customHeight="false" outlineLevel="0" collapsed="false"/>
    <row r="2048" customFormat="false" ht="15" hidden="false" customHeight="false" outlineLevel="0" collapsed="false"/>
    <row r="2049" customFormat="false" ht="15" hidden="false" customHeight="false" outlineLevel="0" collapsed="false"/>
    <row r="2050" customFormat="false" ht="15" hidden="false" customHeight="false" outlineLevel="0" collapsed="false"/>
    <row r="2051" customFormat="false" ht="15" hidden="false" customHeight="false" outlineLevel="0" collapsed="false"/>
    <row r="2052" customFormat="false" ht="15" hidden="false" customHeight="false" outlineLevel="0" collapsed="false"/>
    <row r="2053" customFormat="false" ht="15" hidden="false" customHeight="false" outlineLevel="0" collapsed="false"/>
    <row r="2054" customFormat="false" ht="15" hidden="false" customHeight="false" outlineLevel="0" collapsed="false"/>
    <row r="2055" customFormat="false" ht="15" hidden="false" customHeight="false" outlineLevel="0" collapsed="false"/>
    <row r="2056" customFormat="false" ht="15" hidden="false" customHeight="false" outlineLevel="0" collapsed="false"/>
    <row r="2057" customFormat="false" ht="15" hidden="false" customHeight="false" outlineLevel="0" collapsed="false"/>
    <row r="2058" customFormat="false" ht="15" hidden="false" customHeight="false" outlineLevel="0" collapsed="false"/>
    <row r="2059" customFormat="false" ht="15" hidden="false" customHeight="false" outlineLevel="0" collapsed="false"/>
    <row r="2060" customFormat="false" ht="15" hidden="false" customHeight="false" outlineLevel="0" collapsed="false"/>
    <row r="2061" customFormat="false" ht="15" hidden="false" customHeight="false" outlineLevel="0" collapsed="false"/>
    <row r="2062" customFormat="false" ht="15" hidden="false" customHeight="false" outlineLevel="0" collapsed="false"/>
    <row r="2063" customFormat="false" ht="15" hidden="false" customHeight="false" outlineLevel="0" collapsed="false"/>
    <row r="2064" customFormat="false" ht="15" hidden="false" customHeight="false" outlineLevel="0" collapsed="false"/>
    <row r="2065" customFormat="false" ht="15" hidden="false" customHeight="false" outlineLevel="0" collapsed="false"/>
    <row r="2066" customFormat="false" ht="15" hidden="false" customHeight="false" outlineLevel="0" collapsed="false"/>
    <row r="2067" customFormat="false" ht="15" hidden="false" customHeight="false" outlineLevel="0" collapsed="false"/>
    <row r="2068" customFormat="false" ht="15" hidden="false" customHeight="false" outlineLevel="0" collapsed="false"/>
    <row r="2069" customFormat="false" ht="15" hidden="false" customHeight="false" outlineLevel="0" collapsed="false"/>
    <row r="2070" customFormat="false" ht="15" hidden="false" customHeight="false" outlineLevel="0" collapsed="false"/>
    <row r="2071" customFormat="false" ht="15" hidden="false" customHeight="false" outlineLevel="0" collapsed="false"/>
    <row r="2072" customFormat="false" ht="15" hidden="false" customHeight="false" outlineLevel="0" collapsed="false"/>
    <row r="2073" customFormat="false" ht="15" hidden="false" customHeight="false" outlineLevel="0" collapsed="false"/>
    <row r="2074" customFormat="false" ht="15" hidden="false" customHeight="false" outlineLevel="0" collapsed="false"/>
    <row r="2075" customFormat="false" ht="15" hidden="false" customHeight="false" outlineLevel="0" collapsed="false"/>
    <row r="2076" customFormat="false" ht="15" hidden="false" customHeight="false" outlineLevel="0" collapsed="false"/>
    <row r="2077" customFormat="false" ht="15" hidden="false" customHeight="false" outlineLevel="0" collapsed="false"/>
    <row r="2078" customFormat="false" ht="15" hidden="false" customHeight="false" outlineLevel="0" collapsed="false"/>
    <row r="2079" customFormat="false" ht="15" hidden="false" customHeight="false" outlineLevel="0" collapsed="false"/>
    <row r="2080" customFormat="false" ht="15" hidden="false" customHeight="false" outlineLevel="0" collapsed="false"/>
    <row r="2081" customFormat="false" ht="15" hidden="false" customHeight="false" outlineLevel="0" collapsed="false"/>
    <row r="2082" customFormat="false" ht="15" hidden="false" customHeight="false" outlineLevel="0" collapsed="false"/>
    <row r="2083" customFormat="false" ht="15" hidden="false" customHeight="false" outlineLevel="0" collapsed="false"/>
    <row r="2084" customFormat="false" ht="15" hidden="false" customHeight="false" outlineLevel="0" collapsed="false"/>
    <row r="2085" customFormat="false" ht="15" hidden="false" customHeight="false" outlineLevel="0" collapsed="false"/>
    <row r="2086" customFormat="false" ht="15" hidden="false" customHeight="false" outlineLevel="0" collapsed="false"/>
    <row r="2087" customFormat="false" ht="15" hidden="false" customHeight="false" outlineLevel="0" collapsed="false"/>
    <row r="2088" customFormat="false" ht="15" hidden="false" customHeight="false" outlineLevel="0" collapsed="false"/>
    <row r="2089" customFormat="false" ht="15" hidden="false" customHeight="false" outlineLevel="0" collapsed="false"/>
    <row r="2090" customFormat="false" ht="15" hidden="false" customHeight="false" outlineLevel="0" collapsed="false"/>
    <row r="2091" customFormat="false" ht="15" hidden="false" customHeight="false" outlineLevel="0" collapsed="false"/>
    <row r="2092" customFormat="false" ht="15" hidden="false" customHeight="false" outlineLevel="0" collapsed="false"/>
    <row r="2093" customFormat="false" ht="15" hidden="false" customHeight="false" outlineLevel="0" collapsed="false"/>
    <row r="2094" customFormat="false" ht="15" hidden="false" customHeight="false" outlineLevel="0" collapsed="false"/>
    <row r="2095" customFormat="false" ht="15" hidden="false" customHeight="false" outlineLevel="0" collapsed="false"/>
    <row r="2096" customFormat="false" ht="15" hidden="false" customHeight="false" outlineLevel="0" collapsed="false"/>
    <row r="2097" customFormat="false" ht="15" hidden="false" customHeight="false" outlineLevel="0" collapsed="false"/>
    <row r="2098" customFormat="false" ht="15" hidden="false" customHeight="false" outlineLevel="0" collapsed="false"/>
    <row r="2099" customFormat="false" ht="15" hidden="false" customHeight="false" outlineLevel="0" collapsed="false"/>
    <row r="2100" customFormat="false" ht="15" hidden="false" customHeight="false" outlineLevel="0" collapsed="false"/>
    <row r="2101" customFormat="false" ht="15" hidden="false" customHeight="false" outlineLevel="0" collapsed="false"/>
    <row r="2102" customFormat="false" ht="15" hidden="false" customHeight="false" outlineLevel="0" collapsed="false"/>
    <row r="2103" customFormat="false" ht="15" hidden="false" customHeight="false" outlineLevel="0" collapsed="false"/>
    <row r="2104" customFormat="false" ht="15" hidden="false" customHeight="false" outlineLevel="0" collapsed="false"/>
    <row r="2105" customFormat="false" ht="15" hidden="false" customHeight="false" outlineLevel="0" collapsed="false"/>
    <row r="2106" customFormat="false" ht="15" hidden="false" customHeight="false" outlineLevel="0" collapsed="false"/>
    <row r="2107" customFormat="false" ht="15" hidden="false" customHeight="false" outlineLevel="0" collapsed="false"/>
    <row r="2108" customFormat="false" ht="15" hidden="false" customHeight="false" outlineLevel="0" collapsed="false"/>
    <row r="2109" customFormat="false" ht="15" hidden="false" customHeight="false" outlineLevel="0" collapsed="false"/>
    <row r="2110" customFormat="false" ht="15" hidden="false" customHeight="false" outlineLevel="0" collapsed="false"/>
    <row r="2111" customFormat="false" ht="15" hidden="false" customHeight="false" outlineLevel="0" collapsed="false"/>
    <row r="2112" customFormat="false" ht="15" hidden="false" customHeight="false" outlineLevel="0" collapsed="false"/>
    <row r="2113" customFormat="false" ht="15" hidden="false" customHeight="false" outlineLevel="0" collapsed="false"/>
    <row r="2114" customFormat="false" ht="15" hidden="false" customHeight="false" outlineLevel="0" collapsed="false"/>
    <row r="2115" customFormat="false" ht="15" hidden="false" customHeight="false" outlineLevel="0" collapsed="false"/>
    <row r="2116" customFormat="false" ht="15" hidden="false" customHeight="false" outlineLevel="0" collapsed="false"/>
    <row r="2117" customFormat="false" ht="15" hidden="false" customHeight="false" outlineLevel="0" collapsed="false"/>
    <row r="2118" customFormat="false" ht="15" hidden="false" customHeight="false" outlineLevel="0" collapsed="false"/>
    <row r="2119" customFormat="false" ht="15" hidden="false" customHeight="false" outlineLevel="0" collapsed="false"/>
    <row r="2120" customFormat="false" ht="15" hidden="false" customHeight="false" outlineLevel="0" collapsed="false"/>
    <row r="2121" customFormat="false" ht="15" hidden="false" customHeight="false" outlineLevel="0" collapsed="false"/>
    <row r="2122" customFormat="false" ht="15" hidden="false" customHeight="false" outlineLevel="0" collapsed="false"/>
    <row r="2123" customFormat="false" ht="15" hidden="false" customHeight="false" outlineLevel="0" collapsed="false"/>
    <row r="2124" customFormat="false" ht="15" hidden="false" customHeight="false" outlineLevel="0" collapsed="false"/>
    <row r="2125" customFormat="false" ht="15" hidden="false" customHeight="false" outlineLevel="0" collapsed="false"/>
    <row r="2126" customFormat="false" ht="15" hidden="false" customHeight="false" outlineLevel="0" collapsed="false"/>
    <row r="2127" customFormat="false" ht="15" hidden="false" customHeight="false" outlineLevel="0" collapsed="false"/>
    <row r="2128" customFormat="false" ht="15" hidden="false" customHeight="false" outlineLevel="0" collapsed="false"/>
    <row r="2129" customFormat="false" ht="15" hidden="false" customHeight="false" outlineLevel="0" collapsed="false"/>
    <row r="2130" customFormat="false" ht="15" hidden="false" customHeight="false" outlineLevel="0" collapsed="false"/>
    <row r="2131" customFormat="false" ht="15" hidden="false" customHeight="false" outlineLevel="0" collapsed="false"/>
    <row r="2132" customFormat="false" ht="15" hidden="false" customHeight="false" outlineLevel="0" collapsed="false"/>
    <row r="2133" customFormat="false" ht="15" hidden="false" customHeight="false" outlineLevel="0" collapsed="false"/>
    <row r="2134" customFormat="false" ht="15" hidden="false" customHeight="false" outlineLevel="0" collapsed="false"/>
    <row r="2135" customFormat="false" ht="15" hidden="false" customHeight="false" outlineLevel="0" collapsed="false"/>
    <row r="2136" customFormat="false" ht="15" hidden="false" customHeight="false" outlineLevel="0" collapsed="false"/>
    <row r="2137" customFormat="false" ht="15" hidden="false" customHeight="false" outlineLevel="0" collapsed="false"/>
    <row r="2138" customFormat="false" ht="15" hidden="false" customHeight="false" outlineLevel="0" collapsed="false"/>
    <row r="2139" customFormat="false" ht="15" hidden="false" customHeight="false" outlineLevel="0" collapsed="false"/>
    <row r="2140" customFormat="false" ht="15" hidden="false" customHeight="false" outlineLevel="0" collapsed="false"/>
    <row r="2141" customFormat="false" ht="15" hidden="false" customHeight="false" outlineLevel="0" collapsed="false"/>
    <row r="2142" customFormat="false" ht="15" hidden="false" customHeight="false" outlineLevel="0" collapsed="false"/>
    <row r="2143" customFormat="false" ht="15" hidden="false" customHeight="false" outlineLevel="0" collapsed="false"/>
    <row r="2144" customFormat="false" ht="15" hidden="false" customHeight="false" outlineLevel="0" collapsed="false"/>
    <row r="2145" customFormat="false" ht="15" hidden="false" customHeight="false" outlineLevel="0" collapsed="false"/>
    <row r="2146" customFormat="false" ht="15" hidden="false" customHeight="false" outlineLevel="0" collapsed="false"/>
    <row r="2147" customFormat="false" ht="15" hidden="false" customHeight="false" outlineLevel="0" collapsed="false"/>
    <row r="2148" customFormat="false" ht="15" hidden="false" customHeight="false" outlineLevel="0" collapsed="false"/>
    <row r="2149" customFormat="false" ht="15" hidden="false" customHeight="false" outlineLevel="0" collapsed="false"/>
    <row r="2150" customFormat="false" ht="15" hidden="false" customHeight="false" outlineLevel="0" collapsed="false"/>
    <row r="2151" customFormat="false" ht="15" hidden="false" customHeight="false" outlineLevel="0" collapsed="false"/>
    <row r="2152" customFormat="false" ht="15" hidden="false" customHeight="false" outlineLevel="0" collapsed="false"/>
    <row r="2153" customFormat="false" ht="15" hidden="false" customHeight="false" outlineLevel="0" collapsed="false"/>
    <row r="2154" customFormat="false" ht="15" hidden="false" customHeight="false" outlineLevel="0" collapsed="false"/>
    <row r="2155" customFormat="false" ht="15" hidden="false" customHeight="false" outlineLevel="0" collapsed="false"/>
    <row r="2156" customFormat="false" ht="15" hidden="false" customHeight="false" outlineLevel="0" collapsed="false"/>
    <row r="2157" customFormat="false" ht="15" hidden="false" customHeight="false" outlineLevel="0" collapsed="false"/>
    <row r="2158" customFormat="false" ht="15" hidden="false" customHeight="false" outlineLevel="0" collapsed="false"/>
    <row r="2159" customFormat="false" ht="15" hidden="false" customHeight="false" outlineLevel="0" collapsed="false"/>
    <row r="2160" customFormat="false" ht="15" hidden="false" customHeight="false" outlineLevel="0" collapsed="false"/>
    <row r="2161" customFormat="false" ht="15" hidden="false" customHeight="false" outlineLevel="0" collapsed="false"/>
    <row r="2162" customFormat="false" ht="15" hidden="false" customHeight="false" outlineLevel="0" collapsed="false"/>
    <row r="2163" customFormat="false" ht="15" hidden="false" customHeight="false" outlineLevel="0" collapsed="false"/>
    <row r="2164" customFormat="false" ht="15" hidden="false" customHeight="false" outlineLevel="0" collapsed="false"/>
    <row r="2165" customFormat="false" ht="15" hidden="false" customHeight="false" outlineLevel="0" collapsed="false"/>
    <row r="2166" customFormat="false" ht="15" hidden="false" customHeight="false" outlineLevel="0" collapsed="false"/>
    <row r="2167" customFormat="false" ht="15" hidden="false" customHeight="false" outlineLevel="0" collapsed="false"/>
    <row r="2168" customFormat="false" ht="15" hidden="false" customHeight="false" outlineLevel="0" collapsed="false"/>
    <row r="2169" customFormat="false" ht="15" hidden="false" customHeight="false" outlineLevel="0" collapsed="false"/>
    <row r="2170" customFormat="false" ht="15" hidden="false" customHeight="false" outlineLevel="0" collapsed="false"/>
    <row r="2171" customFormat="false" ht="15" hidden="false" customHeight="false" outlineLevel="0" collapsed="false"/>
    <row r="2172" customFormat="false" ht="15" hidden="false" customHeight="false" outlineLevel="0" collapsed="false"/>
    <row r="2173" customFormat="false" ht="15" hidden="false" customHeight="false" outlineLevel="0" collapsed="false"/>
    <row r="2174" customFormat="false" ht="15" hidden="false" customHeight="false" outlineLevel="0" collapsed="false"/>
    <row r="2175" customFormat="false" ht="15" hidden="false" customHeight="false" outlineLevel="0" collapsed="false"/>
    <row r="2176" customFormat="false" ht="15" hidden="false" customHeight="false" outlineLevel="0" collapsed="false"/>
    <row r="2177" customFormat="false" ht="15" hidden="false" customHeight="false" outlineLevel="0" collapsed="false"/>
    <row r="2178" customFormat="false" ht="15" hidden="false" customHeight="false" outlineLevel="0" collapsed="false"/>
    <row r="2179" customFormat="false" ht="15" hidden="false" customHeight="false" outlineLevel="0" collapsed="false"/>
    <row r="2180" customFormat="false" ht="15" hidden="false" customHeight="false" outlineLevel="0" collapsed="false"/>
    <row r="2181" customFormat="false" ht="15" hidden="false" customHeight="false" outlineLevel="0" collapsed="false"/>
    <row r="2182" customFormat="false" ht="15" hidden="false" customHeight="false" outlineLevel="0" collapsed="false"/>
    <row r="2183" customFormat="false" ht="15" hidden="false" customHeight="false" outlineLevel="0" collapsed="false"/>
    <row r="2184" customFormat="false" ht="15" hidden="false" customHeight="false" outlineLevel="0" collapsed="false"/>
    <row r="2185" customFormat="false" ht="15" hidden="false" customHeight="false" outlineLevel="0" collapsed="false"/>
    <row r="2186" customFormat="false" ht="15" hidden="false" customHeight="false" outlineLevel="0" collapsed="false"/>
    <row r="2187" customFormat="false" ht="15" hidden="false" customHeight="false" outlineLevel="0" collapsed="false"/>
    <row r="2188" customFormat="false" ht="15" hidden="false" customHeight="false" outlineLevel="0" collapsed="false"/>
    <row r="2189" customFormat="false" ht="15" hidden="false" customHeight="false" outlineLevel="0" collapsed="false"/>
    <row r="2190" customFormat="false" ht="15" hidden="false" customHeight="false" outlineLevel="0" collapsed="false"/>
    <row r="2191" customFormat="false" ht="15" hidden="false" customHeight="false" outlineLevel="0" collapsed="false"/>
    <row r="2192" customFormat="false" ht="15" hidden="false" customHeight="false" outlineLevel="0" collapsed="false"/>
    <row r="2193" customFormat="false" ht="15" hidden="false" customHeight="false" outlineLevel="0" collapsed="false"/>
    <row r="2194" customFormat="false" ht="15" hidden="false" customHeight="false" outlineLevel="0" collapsed="false"/>
    <row r="2195" customFormat="false" ht="15" hidden="false" customHeight="false" outlineLevel="0" collapsed="false"/>
    <row r="2196" customFormat="false" ht="15" hidden="false" customHeight="false" outlineLevel="0" collapsed="false"/>
    <row r="2197" customFormat="false" ht="15" hidden="false" customHeight="false" outlineLevel="0" collapsed="false"/>
    <row r="2198" customFormat="false" ht="15" hidden="false" customHeight="false" outlineLevel="0" collapsed="false"/>
    <row r="2199" customFormat="false" ht="15" hidden="false" customHeight="false" outlineLevel="0" collapsed="false"/>
    <row r="2200" customFormat="false" ht="15" hidden="false" customHeight="false" outlineLevel="0" collapsed="false"/>
    <row r="2201" customFormat="false" ht="15" hidden="false" customHeight="false" outlineLevel="0" collapsed="false"/>
    <row r="2202" customFormat="false" ht="15" hidden="false" customHeight="false" outlineLevel="0" collapsed="false"/>
    <row r="2203" customFormat="false" ht="15" hidden="false" customHeight="false" outlineLevel="0" collapsed="false"/>
    <row r="2204" customFormat="false" ht="15" hidden="false" customHeight="false" outlineLevel="0" collapsed="false"/>
    <row r="2205" customFormat="false" ht="15" hidden="false" customHeight="false" outlineLevel="0" collapsed="false"/>
    <row r="2206" customFormat="false" ht="15" hidden="false" customHeight="false" outlineLevel="0" collapsed="false"/>
    <row r="2207" customFormat="false" ht="15" hidden="false" customHeight="false" outlineLevel="0" collapsed="false"/>
    <row r="2208" customFormat="false" ht="15" hidden="false" customHeight="false" outlineLevel="0" collapsed="false"/>
    <row r="2209" customFormat="false" ht="15" hidden="false" customHeight="false" outlineLevel="0" collapsed="false"/>
    <row r="2210" customFormat="false" ht="15" hidden="false" customHeight="false" outlineLevel="0" collapsed="false"/>
    <row r="2211" customFormat="false" ht="15" hidden="false" customHeight="false" outlineLevel="0" collapsed="false"/>
    <row r="2212" customFormat="false" ht="15" hidden="false" customHeight="false" outlineLevel="0" collapsed="false"/>
    <row r="2213" customFormat="false" ht="15" hidden="false" customHeight="false" outlineLevel="0" collapsed="false"/>
    <row r="2214" customFormat="false" ht="15" hidden="false" customHeight="false" outlineLevel="0" collapsed="false"/>
    <row r="2215" customFormat="false" ht="15" hidden="false" customHeight="false" outlineLevel="0" collapsed="false"/>
    <row r="2216" customFormat="false" ht="15" hidden="false" customHeight="false" outlineLevel="0" collapsed="false"/>
    <row r="2217" customFormat="false" ht="15" hidden="false" customHeight="false" outlineLevel="0" collapsed="false"/>
    <row r="2218" customFormat="false" ht="15" hidden="false" customHeight="false" outlineLevel="0" collapsed="false"/>
    <row r="2219" customFormat="false" ht="15" hidden="false" customHeight="false" outlineLevel="0" collapsed="false"/>
    <row r="2220" customFormat="false" ht="15" hidden="false" customHeight="false" outlineLevel="0" collapsed="false"/>
    <row r="2221" customFormat="false" ht="15" hidden="false" customHeight="false" outlineLevel="0" collapsed="false"/>
    <row r="2222" customFormat="false" ht="15" hidden="false" customHeight="false" outlineLevel="0" collapsed="false"/>
    <row r="2223" customFormat="false" ht="15" hidden="false" customHeight="false" outlineLevel="0" collapsed="false"/>
    <row r="2224" customFormat="false" ht="15" hidden="false" customHeight="false" outlineLevel="0" collapsed="false"/>
    <row r="2225" customFormat="false" ht="15" hidden="false" customHeight="false" outlineLevel="0" collapsed="false"/>
    <row r="2226" customFormat="false" ht="15" hidden="false" customHeight="false" outlineLevel="0" collapsed="false"/>
    <row r="2227" customFormat="false" ht="15" hidden="false" customHeight="false" outlineLevel="0" collapsed="false"/>
    <row r="2228" customFormat="false" ht="15" hidden="false" customHeight="false" outlineLevel="0" collapsed="false"/>
    <row r="2229" customFormat="false" ht="15" hidden="false" customHeight="false" outlineLevel="0" collapsed="false"/>
    <row r="2230" customFormat="false" ht="15" hidden="false" customHeight="false" outlineLevel="0" collapsed="false"/>
    <row r="2231" customFormat="false" ht="15" hidden="false" customHeight="false" outlineLevel="0" collapsed="false"/>
    <row r="2232" customFormat="false" ht="15" hidden="false" customHeight="false" outlineLevel="0" collapsed="false"/>
    <row r="2233" customFormat="false" ht="15" hidden="false" customHeight="false" outlineLevel="0" collapsed="false"/>
    <row r="2234" customFormat="false" ht="15" hidden="false" customHeight="false" outlineLevel="0" collapsed="false"/>
    <row r="2235" customFormat="false" ht="15" hidden="false" customHeight="false" outlineLevel="0" collapsed="false"/>
    <row r="2236" customFormat="false" ht="15" hidden="false" customHeight="false" outlineLevel="0" collapsed="false"/>
    <row r="2237" customFormat="false" ht="15" hidden="false" customHeight="false" outlineLevel="0" collapsed="false"/>
    <row r="2238" customFormat="false" ht="15" hidden="false" customHeight="false" outlineLevel="0" collapsed="false"/>
    <row r="2239" customFormat="false" ht="15" hidden="false" customHeight="false" outlineLevel="0" collapsed="false"/>
    <row r="2240" customFormat="false" ht="15" hidden="false" customHeight="false" outlineLevel="0" collapsed="false"/>
    <row r="2241" customFormat="false" ht="15" hidden="false" customHeight="false" outlineLevel="0" collapsed="false"/>
    <row r="2242" customFormat="false" ht="15" hidden="false" customHeight="false" outlineLevel="0" collapsed="false"/>
    <row r="2243" customFormat="false" ht="15" hidden="false" customHeight="false" outlineLevel="0" collapsed="false"/>
    <row r="2244" customFormat="false" ht="15" hidden="false" customHeight="false" outlineLevel="0" collapsed="false"/>
    <row r="2245" customFormat="false" ht="15" hidden="false" customHeight="false" outlineLevel="0" collapsed="false"/>
    <row r="2246" customFormat="false" ht="15" hidden="false" customHeight="false" outlineLevel="0" collapsed="false"/>
    <row r="2247" customFormat="false" ht="15" hidden="false" customHeight="false" outlineLevel="0" collapsed="false"/>
    <row r="2248" customFormat="false" ht="15" hidden="false" customHeight="false" outlineLevel="0" collapsed="false"/>
    <row r="2249" customFormat="false" ht="15" hidden="false" customHeight="false" outlineLevel="0" collapsed="false"/>
    <row r="2250" customFormat="false" ht="15" hidden="false" customHeight="false" outlineLevel="0" collapsed="false"/>
    <row r="2251" customFormat="false" ht="15" hidden="false" customHeight="false" outlineLevel="0" collapsed="false"/>
    <row r="2252" customFormat="false" ht="15" hidden="false" customHeight="false" outlineLevel="0" collapsed="false"/>
    <row r="2253" customFormat="false" ht="15" hidden="false" customHeight="false" outlineLevel="0" collapsed="false"/>
    <row r="2254" customFormat="false" ht="15" hidden="false" customHeight="false" outlineLevel="0" collapsed="false"/>
    <row r="2255" customFormat="false" ht="15" hidden="false" customHeight="false" outlineLevel="0" collapsed="false"/>
    <row r="2256" customFormat="false" ht="15" hidden="false" customHeight="false" outlineLevel="0" collapsed="false"/>
    <row r="2257" customFormat="false" ht="15" hidden="false" customHeight="false" outlineLevel="0" collapsed="false"/>
    <row r="2258" customFormat="false" ht="15" hidden="false" customHeight="false" outlineLevel="0" collapsed="false"/>
    <row r="2259" customFormat="false" ht="15" hidden="false" customHeight="false" outlineLevel="0" collapsed="false"/>
    <row r="2260" customFormat="false" ht="15" hidden="false" customHeight="false" outlineLevel="0" collapsed="false"/>
    <row r="2261" customFormat="false" ht="15" hidden="false" customHeight="false" outlineLevel="0" collapsed="false"/>
    <row r="2262" customFormat="false" ht="15" hidden="false" customHeight="false" outlineLevel="0" collapsed="false"/>
    <row r="2263" customFormat="false" ht="15" hidden="false" customHeight="false" outlineLevel="0" collapsed="false"/>
    <row r="2264" customFormat="false" ht="15" hidden="false" customHeight="false" outlineLevel="0" collapsed="false"/>
    <row r="2265" customFormat="false" ht="15" hidden="false" customHeight="false" outlineLevel="0" collapsed="false"/>
    <row r="2266" customFormat="false" ht="15" hidden="false" customHeight="false" outlineLevel="0" collapsed="false"/>
    <row r="2267" customFormat="false" ht="15" hidden="false" customHeight="false" outlineLevel="0" collapsed="false"/>
    <row r="2268" customFormat="false" ht="15" hidden="false" customHeight="false" outlineLevel="0" collapsed="false"/>
    <row r="2269" customFormat="false" ht="15" hidden="false" customHeight="false" outlineLevel="0" collapsed="false"/>
    <row r="2270" customFormat="false" ht="15" hidden="false" customHeight="false" outlineLevel="0" collapsed="false"/>
    <row r="2271" customFormat="false" ht="15" hidden="false" customHeight="false" outlineLevel="0" collapsed="false"/>
    <row r="2272" customFormat="false" ht="15" hidden="false" customHeight="false" outlineLevel="0" collapsed="false"/>
    <row r="2273" customFormat="false" ht="15" hidden="false" customHeight="false" outlineLevel="0" collapsed="false"/>
    <row r="2274" customFormat="false" ht="15" hidden="false" customHeight="false" outlineLevel="0" collapsed="false"/>
    <row r="2275" customFormat="false" ht="15" hidden="false" customHeight="false" outlineLevel="0" collapsed="false"/>
    <row r="2276" customFormat="false" ht="15" hidden="false" customHeight="false" outlineLevel="0" collapsed="false"/>
    <row r="2277" customFormat="false" ht="15" hidden="false" customHeight="false" outlineLevel="0" collapsed="false"/>
    <row r="2278" customFormat="false" ht="15" hidden="false" customHeight="false" outlineLevel="0" collapsed="false"/>
    <row r="2279" customFormat="false" ht="15" hidden="false" customHeight="false" outlineLevel="0" collapsed="false"/>
    <row r="2280" customFormat="false" ht="15" hidden="false" customHeight="false" outlineLevel="0" collapsed="false"/>
    <row r="2281" customFormat="false" ht="15" hidden="false" customHeight="false" outlineLevel="0" collapsed="false"/>
    <row r="2282" customFormat="false" ht="15" hidden="false" customHeight="false" outlineLevel="0" collapsed="false"/>
    <row r="2283" customFormat="false" ht="15" hidden="false" customHeight="false" outlineLevel="0" collapsed="false"/>
    <row r="2284" customFormat="false" ht="15" hidden="false" customHeight="false" outlineLevel="0" collapsed="false"/>
    <row r="2285" customFormat="false" ht="15" hidden="false" customHeight="false" outlineLevel="0" collapsed="false"/>
    <row r="2286" customFormat="false" ht="15" hidden="false" customHeight="false" outlineLevel="0" collapsed="false"/>
    <row r="2287" customFormat="false" ht="15" hidden="false" customHeight="false" outlineLevel="0" collapsed="false"/>
    <row r="2288" customFormat="false" ht="15" hidden="false" customHeight="false" outlineLevel="0" collapsed="false"/>
    <row r="2289" customFormat="false" ht="15" hidden="false" customHeight="false" outlineLevel="0" collapsed="false"/>
    <row r="2290" customFormat="false" ht="15" hidden="false" customHeight="false" outlineLevel="0" collapsed="false"/>
    <row r="2291" customFormat="false" ht="15" hidden="false" customHeight="false" outlineLevel="0" collapsed="false"/>
    <row r="2292" customFormat="false" ht="15" hidden="false" customHeight="false" outlineLevel="0" collapsed="false"/>
    <row r="2293" customFormat="false" ht="15" hidden="false" customHeight="false" outlineLevel="0" collapsed="false"/>
    <row r="2294" customFormat="false" ht="15" hidden="false" customHeight="false" outlineLevel="0" collapsed="false"/>
    <row r="2295" customFormat="false" ht="15" hidden="false" customHeight="false" outlineLevel="0" collapsed="false"/>
    <row r="2296" customFormat="false" ht="15" hidden="false" customHeight="false" outlineLevel="0" collapsed="false"/>
    <row r="2297" customFormat="false" ht="15" hidden="false" customHeight="false" outlineLevel="0" collapsed="false"/>
    <row r="2298" customFormat="false" ht="15" hidden="false" customHeight="false" outlineLevel="0" collapsed="false"/>
    <row r="2299" customFormat="false" ht="15" hidden="false" customHeight="false" outlineLevel="0" collapsed="false"/>
    <row r="2300" customFormat="false" ht="15" hidden="false" customHeight="false" outlineLevel="0" collapsed="false"/>
    <row r="2301" customFormat="false" ht="15" hidden="false" customHeight="false" outlineLevel="0" collapsed="false"/>
    <row r="2302" customFormat="false" ht="15" hidden="false" customHeight="false" outlineLevel="0" collapsed="false"/>
    <row r="2303" customFormat="false" ht="15" hidden="false" customHeight="false" outlineLevel="0" collapsed="false"/>
    <row r="2304" customFormat="false" ht="15" hidden="false" customHeight="false" outlineLevel="0" collapsed="false"/>
    <row r="2305" customFormat="false" ht="15" hidden="false" customHeight="false" outlineLevel="0" collapsed="false"/>
    <row r="2306" customFormat="false" ht="15" hidden="false" customHeight="false" outlineLevel="0" collapsed="false"/>
    <row r="2307" customFormat="false" ht="15" hidden="false" customHeight="false" outlineLevel="0" collapsed="false"/>
    <row r="2308" customFormat="false" ht="15" hidden="false" customHeight="false" outlineLevel="0" collapsed="false"/>
    <row r="2309" customFormat="false" ht="15" hidden="false" customHeight="false" outlineLevel="0" collapsed="false"/>
    <row r="2310" customFormat="false" ht="15" hidden="false" customHeight="false" outlineLevel="0" collapsed="false"/>
    <row r="2311" customFormat="false" ht="15" hidden="false" customHeight="false" outlineLevel="0" collapsed="false"/>
    <row r="2312" customFormat="false" ht="15" hidden="false" customHeight="false" outlineLevel="0" collapsed="false"/>
    <row r="2313" customFormat="false" ht="15" hidden="false" customHeight="false" outlineLevel="0" collapsed="false"/>
    <row r="2314" customFormat="false" ht="15" hidden="false" customHeight="false" outlineLevel="0" collapsed="false"/>
    <row r="2315" customFormat="false" ht="15" hidden="false" customHeight="false" outlineLevel="0" collapsed="false"/>
    <row r="2316" customFormat="false" ht="15" hidden="false" customHeight="false" outlineLevel="0" collapsed="false"/>
    <row r="2317" customFormat="false" ht="15" hidden="false" customHeight="false" outlineLevel="0" collapsed="false"/>
    <row r="2318" customFormat="false" ht="15" hidden="false" customHeight="false" outlineLevel="0" collapsed="false"/>
    <row r="2319" customFormat="false" ht="15" hidden="false" customHeight="false" outlineLevel="0" collapsed="false"/>
    <row r="2320" customFormat="false" ht="15" hidden="false" customHeight="false" outlineLevel="0" collapsed="false"/>
    <row r="2321" customFormat="false" ht="15" hidden="false" customHeight="false" outlineLevel="0" collapsed="false"/>
    <row r="2322" customFormat="false" ht="15" hidden="false" customHeight="false" outlineLevel="0" collapsed="false"/>
    <row r="2323" customFormat="false" ht="15" hidden="false" customHeight="false" outlineLevel="0" collapsed="false"/>
    <row r="2324" customFormat="false" ht="15" hidden="false" customHeight="false" outlineLevel="0" collapsed="false"/>
    <row r="2325" customFormat="false" ht="15" hidden="false" customHeight="false" outlineLevel="0" collapsed="false"/>
    <row r="2326" customFormat="false" ht="15" hidden="false" customHeight="false" outlineLevel="0" collapsed="false"/>
    <row r="2327" customFormat="false" ht="15" hidden="false" customHeight="false" outlineLevel="0" collapsed="false"/>
    <row r="2328" customFormat="false" ht="15" hidden="false" customHeight="false" outlineLevel="0" collapsed="false"/>
    <row r="2329" customFormat="false" ht="15" hidden="false" customHeight="false" outlineLevel="0" collapsed="false"/>
    <row r="2330" customFormat="false" ht="15" hidden="false" customHeight="false" outlineLevel="0" collapsed="false"/>
    <row r="2331" customFormat="false" ht="15" hidden="false" customHeight="false" outlineLevel="0" collapsed="false"/>
    <row r="2332" customFormat="false" ht="15" hidden="false" customHeight="false" outlineLevel="0" collapsed="false"/>
    <row r="2333" customFormat="false" ht="15" hidden="false" customHeight="false" outlineLevel="0" collapsed="false"/>
    <row r="2334" customFormat="false" ht="15" hidden="false" customHeight="false" outlineLevel="0" collapsed="false"/>
    <row r="2335" customFormat="false" ht="15" hidden="false" customHeight="false" outlineLevel="0" collapsed="false"/>
    <row r="2336" customFormat="false" ht="15" hidden="false" customHeight="false" outlineLevel="0" collapsed="false"/>
    <row r="2337" customFormat="false" ht="15" hidden="false" customHeight="false" outlineLevel="0" collapsed="false"/>
    <row r="2338" customFormat="false" ht="15" hidden="false" customHeight="false" outlineLevel="0" collapsed="false"/>
    <row r="2339" customFormat="false" ht="15" hidden="false" customHeight="false" outlineLevel="0" collapsed="false"/>
    <row r="2340" customFormat="false" ht="15" hidden="false" customHeight="false" outlineLevel="0" collapsed="false"/>
    <row r="2341" customFormat="false" ht="15" hidden="false" customHeight="false" outlineLevel="0" collapsed="false"/>
    <row r="2342" customFormat="false" ht="15" hidden="false" customHeight="false" outlineLevel="0" collapsed="false"/>
    <row r="2343" customFormat="false" ht="15" hidden="false" customHeight="false" outlineLevel="0" collapsed="false"/>
    <row r="2344" customFormat="false" ht="15" hidden="false" customHeight="false" outlineLevel="0" collapsed="false"/>
    <row r="2345" customFormat="false" ht="15" hidden="false" customHeight="false" outlineLevel="0" collapsed="false"/>
    <row r="2346" customFormat="false" ht="15" hidden="false" customHeight="false" outlineLevel="0" collapsed="false"/>
    <row r="2347" customFormat="false" ht="15" hidden="false" customHeight="false" outlineLevel="0" collapsed="false"/>
    <row r="2348" customFormat="false" ht="15" hidden="false" customHeight="false" outlineLevel="0" collapsed="false"/>
    <row r="2349" customFormat="false" ht="15" hidden="false" customHeight="false" outlineLevel="0" collapsed="false"/>
    <row r="2350" customFormat="false" ht="15" hidden="false" customHeight="false" outlineLevel="0" collapsed="false"/>
    <row r="2351" customFormat="false" ht="15" hidden="false" customHeight="false" outlineLevel="0" collapsed="false"/>
    <row r="2352" customFormat="false" ht="15" hidden="false" customHeight="false" outlineLevel="0" collapsed="false"/>
    <row r="2353" customFormat="false" ht="15" hidden="false" customHeight="false" outlineLevel="0" collapsed="false"/>
    <row r="2354" customFormat="false" ht="15" hidden="false" customHeight="false" outlineLevel="0" collapsed="false"/>
    <row r="2355" customFormat="false" ht="15" hidden="false" customHeight="false" outlineLevel="0" collapsed="false"/>
    <row r="2356" customFormat="false" ht="15" hidden="false" customHeight="false" outlineLevel="0" collapsed="false"/>
    <row r="2357" customFormat="false" ht="15" hidden="false" customHeight="false" outlineLevel="0" collapsed="false"/>
    <row r="2358" customFormat="false" ht="15" hidden="false" customHeight="false" outlineLevel="0" collapsed="false"/>
    <row r="2359" customFormat="false" ht="15" hidden="false" customHeight="false" outlineLevel="0" collapsed="false"/>
    <row r="2360" customFormat="false" ht="15" hidden="false" customHeight="false" outlineLevel="0" collapsed="false"/>
    <row r="2361" customFormat="false" ht="15" hidden="false" customHeight="false" outlineLevel="0" collapsed="false"/>
    <row r="2362" customFormat="false" ht="15" hidden="false" customHeight="false" outlineLevel="0" collapsed="false"/>
    <row r="2363" customFormat="false" ht="15" hidden="false" customHeight="false" outlineLevel="0" collapsed="false"/>
    <row r="2364" customFormat="false" ht="15" hidden="false" customHeight="false" outlineLevel="0" collapsed="false"/>
    <row r="2365" customFormat="false" ht="15" hidden="false" customHeight="false" outlineLevel="0" collapsed="false"/>
    <row r="2366" customFormat="false" ht="15" hidden="false" customHeight="false" outlineLevel="0" collapsed="false"/>
    <row r="2367" customFormat="false" ht="15" hidden="false" customHeight="false" outlineLevel="0" collapsed="false"/>
    <row r="2368" customFormat="false" ht="15" hidden="false" customHeight="false" outlineLevel="0" collapsed="false"/>
    <row r="2369" customFormat="false" ht="15" hidden="false" customHeight="false" outlineLevel="0" collapsed="false"/>
    <row r="2370" customFormat="false" ht="15" hidden="false" customHeight="false" outlineLevel="0" collapsed="false"/>
    <row r="2371" customFormat="false" ht="15" hidden="false" customHeight="false" outlineLevel="0" collapsed="false"/>
    <row r="2372" customFormat="false" ht="15" hidden="false" customHeight="false" outlineLevel="0" collapsed="false"/>
    <row r="2373" customFormat="false" ht="15" hidden="false" customHeight="false" outlineLevel="0" collapsed="false"/>
    <row r="2374" customFormat="false" ht="15" hidden="false" customHeight="false" outlineLevel="0" collapsed="false"/>
    <row r="2375" customFormat="false" ht="15" hidden="false" customHeight="false" outlineLevel="0" collapsed="false"/>
    <row r="2376" customFormat="false" ht="15" hidden="false" customHeight="false" outlineLevel="0" collapsed="false"/>
    <row r="2377" customFormat="false" ht="15" hidden="false" customHeight="false" outlineLevel="0" collapsed="false"/>
    <row r="2378" customFormat="false" ht="15" hidden="false" customHeight="false" outlineLevel="0" collapsed="false"/>
    <row r="2379" customFormat="false" ht="15" hidden="false" customHeight="false" outlineLevel="0" collapsed="false"/>
    <row r="2380" customFormat="false" ht="15" hidden="false" customHeight="false" outlineLevel="0" collapsed="false"/>
    <row r="2381" customFormat="false" ht="15" hidden="false" customHeight="false" outlineLevel="0" collapsed="false"/>
    <row r="2382" customFormat="false" ht="15" hidden="false" customHeight="false" outlineLevel="0" collapsed="false"/>
    <row r="2383" customFormat="false" ht="15" hidden="false" customHeight="false" outlineLevel="0" collapsed="false"/>
    <row r="2384" customFormat="false" ht="15" hidden="false" customHeight="false" outlineLevel="0" collapsed="false"/>
    <row r="2385" customFormat="false" ht="15" hidden="false" customHeight="false" outlineLevel="0" collapsed="false"/>
    <row r="2386" customFormat="false" ht="15" hidden="false" customHeight="false" outlineLevel="0" collapsed="false"/>
    <row r="2387" customFormat="false" ht="15" hidden="false" customHeight="false" outlineLevel="0" collapsed="false"/>
    <row r="2388" customFormat="false" ht="15" hidden="false" customHeight="false" outlineLevel="0" collapsed="false"/>
    <row r="2389" customFormat="false" ht="15" hidden="false" customHeight="false" outlineLevel="0" collapsed="false"/>
    <row r="2390" customFormat="false" ht="15" hidden="false" customHeight="false" outlineLevel="0" collapsed="false"/>
    <row r="2391" customFormat="false" ht="15" hidden="false" customHeight="false" outlineLevel="0" collapsed="false"/>
    <row r="2392" customFormat="false" ht="15" hidden="false" customHeight="false" outlineLevel="0" collapsed="false"/>
    <row r="2393" customFormat="false" ht="15" hidden="false" customHeight="false" outlineLevel="0" collapsed="false"/>
    <row r="2394" customFormat="false" ht="15" hidden="false" customHeight="false" outlineLevel="0" collapsed="false"/>
    <row r="2395" customFormat="false" ht="15" hidden="false" customHeight="false" outlineLevel="0" collapsed="false"/>
    <row r="2396" customFormat="false" ht="15" hidden="false" customHeight="false" outlineLevel="0" collapsed="false"/>
    <row r="2397" customFormat="false" ht="15" hidden="false" customHeight="false" outlineLevel="0" collapsed="false"/>
    <row r="2398" customFormat="false" ht="15" hidden="false" customHeight="false" outlineLevel="0" collapsed="false"/>
    <row r="2399" customFormat="false" ht="15" hidden="false" customHeight="false" outlineLevel="0" collapsed="false"/>
    <row r="2400" customFormat="false" ht="15" hidden="false" customHeight="false" outlineLevel="0" collapsed="false"/>
    <row r="2401" customFormat="false" ht="15" hidden="false" customHeight="false" outlineLevel="0" collapsed="false"/>
    <row r="2402" customFormat="false" ht="15" hidden="false" customHeight="false" outlineLevel="0" collapsed="false"/>
    <row r="2403" customFormat="false" ht="15" hidden="false" customHeight="false" outlineLevel="0" collapsed="false"/>
    <row r="2404" customFormat="false" ht="15" hidden="false" customHeight="false" outlineLevel="0" collapsed="false"/>
    <row r="2405" customFormat="false" ht="15" hidden="false" customHeight="false" outlineLevel="0" collapsed="false"/>
    <row r="2406" customFormat="false" ht="15" hidden="false" customHeight="false" outlineLevel="0" collapsed="false"/>
    <row r="2407" customFormat="false" ht="15" hidden="false" customHeight="false" outlineLevel="0" collapsed="false"/>
    <row r="2408" customFormat="false" ht="15" hidden="false" customHeight="false" outlineLevel="0" collapsed="false"/>
    <row r="2409" customFormat="false" ht="15" hidden="false" customHeight="false" outlineLevel="0" collapsed="false"/>
    <row r="2410" customFormat="false" ht="15" hidden="false" customHeight="false" outlineLevel="0" collapsed="false"/>
    <row r="2411" customFormat="false" ht="15" hidden="false" customHeight="false" outlineLevel="0" collapsed="false"/>
    <row r="2412" customFormat="false" ht="15" hidden="false" customHeight="false" outlineLevel="0" collapsed="false"/>
    <row r="2413" customFormat="false" ht="15" hidden="false" customHeight="false" outlineLevel="0" collapsed="false"/>
    <row r="2414" customFormat="false" ht="15" hidden="false" customHeight="false" outlineLevel="0" collapsed="false"/>
    <row r="2415" customFormat="false" ht="15" hidden="false" customHeight="false" outlineLevel="0" collapsed="false"/>
    <row r="2416" customFormat="false" ht="15" hidden="false" customHeight="false" outlineLevel="0" collapsed="false"/>
    <row r="2417" customFormat="false" ht="15" hidden="false" customHeight="false" outlineLevel="0" collapsed="false"/>
    <row r="2418" customFormat="false" ht="15" hidden="false" customHeight="false" outlineLevel="0" collapsed="false"/>
    <row r="2419" customFormat="false" ht="15" hidden="false" customHeight="false" outlineLevel="0" collapsed="false"/>
    <row r="2420" customFormat="false" ht="15" hidden="false" customHeight="false" outlineLevel="0" collapsed="false"/>
    <row r="2421" customFormat="false" ht="15" hidden="false" customHeight="false" outlineLevel="0" collapsed="false"/>
    <row r="2422" customFormat="false" ht="15" hidden="false" customHeight="false" outlineLevel="0" collapsed="false"/>
    <row r="2423" customFormat="false" ht="15" hidden="false" customHeight="false" outlineLevel="0" collapsed="false"/>
    <row r="2424" customFormat="false" ht="15" hidden="false" customHeight="false" outlineLevel="0" collapsed="false"/>
    <row r="2425" customFormat="false" ht="15" hidden="false" customHeight="false" outlineLevel="0" collapsed="false"/>
    <row r="2426" customFormat="false" ht="15" hidden="false" customHeight="false" outlineLevel="0" collapsed="false"/>
    <row r="2427" customFormat="false" ht="15" hidden="false" customHeight="false" outlineLevel="0" collapsed="false"/>
    <row r="2428" customFormat="false" ht="15" hidden="false" customHeight="false" outlineLevel="0" collapsed="false"/>
    <row r="2429" customFormat="false" ht="15" hidden="false" customHeight="false" outlineLevel="0" collapsed="false"/>
    <row r="2430" customFormat="false" ht="15" hidden="false" customHeight="false" outlineLevel="0" collapsed="false"/>
    <row r="2431" customFormat="false" ht="15" hidden="false" customHeight="false" outlineLevel="0" collapsed="false"/>
    <row r="2432" customFormat="false" ht="15" hidden="false" customHeight="false" outlineLevel="0" collapsed="false"/>
    <row r="2433" customFormat="false" ht="15" hidden="false" customHeight="false" outlineLevel="0" collapsed="false"/>
    <row r="2434" customFormat="false" ht="15" hidden="false" customHeight="false" outlineLevel="0" collapsed="false"/>
    <row r="2435" customFormat="false" ht="15" hidden="false" customHeight="false" outlineLevel="0" collapsed="false"/>
    <row r="2436" customFormat="false" ht="15" hidden="false" customHeight="false" outlineLevel="0" collapsed="false"/>
    <row r="2437" customFormat="false" ht="15" hidden="false" customHeight="false" outlineLevel="0" collapsed="false"/>
    <row r="2438" customFormat="false" ht="15" hidden="false" customHeight="false" outlineLevel="0" collapsed="false"/>
    <row r="2439" customFormat="false" ht="15" hidden="false" customHeight="false" outlineLevel="0" collapsed="false"/>
    <row r="2440" customFormat="false" ht="15" hidden="false" customHeight="false" outlineLevel="0" collapsed="false"/>
    <row r="2441" customFormat="false" ht="15" hidden="false" customHeight="false" outlineLevel="0" collapsed="false"/>
    <row r="2442" customFormat="false" ht="15" hidden="false" customHeight="false" outlineLevel="0" collapsed="false"/>
    <row r="2443" customFormat="false" ht="15" hidden="false" customHeight="false" outlineLevel="0" collapsed="false"/>
    <row r="2444" customFormat="false" ht="15" hidden="false" customHeight="false" outlineLevel="0" collapsed="false"/>
    <row r="2445" customFormat="false" ht="15" hidden="false" customHeight="false" outlineLevel="0" collapsed="false"/>
    <row r="2446" customFormat="false" ht="15" hidden="false" customHeight="false" outlineLevel="0" collapsed="false"/>
    <row r="2447" customFormat="false" ht="15" hidden="false" customHeight="false" outlineLevel="0" collapsed="false"/>
    <row r="2448" customFormat="false" ht="15" hidden="false" customHeight="false" outlineLevel="0" collapsed="false"/>
    <row r="2449" customFormat="false" ht="15" hidden="false" customHeight="false" outlineLevel="0" collapsed="false"/>
    <row r="2450" customFormat="false" ht="15" hidden="false" customHeight="false" outlineLevel="0" collapsed="false"/>
    <row r="2451" customFormat="false" ht="15" hidden="false" customHeight="false" outlineLevel="0" collapsed="false"/>
    <row r="2452" customFormat="false" ht="15" hidden="false" customHeight="false" outlineLevel="0" collapsed="false"/>
    <row r="2453" customFormat="false" ht="15" hidden="false" customHeight="false" outlineLevel="0" collapsed="false"/>
    <row r="2454" customFormat="false" ht="15" hidden="false" customHeight="false" outlineLevel="0" collapsed="false"/>
    <row r="2455" customFormat="false" ht="15" hidden="false" customHeight="false" outlineLevel="0" collapsed="false"/>
    <row r="2456" customFormat="false" ht="15" hidden="false" customHeight="false" outlineLevel="0" collapsed="false"/>
    <row r="2457" customFormat="false" ht="15" hidden="false" customHeight="false" outlineLevel="0" collapsed="false"/>
    <row r="2458" customFormat="false" ht="15" hidden="false" customHeight="false" outlineLevel="0" collapsed="false"/>
    <row r="2459" customFormat="false" ht="15" hidden="false" customHeight="false" outlineLevel="0" collapsed="false"/>
    <row r="2460" customFormat="false" ht="15" hidden="false" customHeight="false" outlineLevel="0" collapsed="false"/>
    <row r="2461" customFormat="false" ht="15" hidden="false" customHeight="false" outlineLevel="0" collapsed="false"/>
    <row r="2462" customFormat="false" ht="15" hidden="false" customHeight="false" outlineLevel="0" collapsed="false"/>
    <row r="2463" customFormat="false" ht="15" hidden="false" customHeight="false" outlineLevel="0" collapsed="false"/>
    <row r="2464" customFormat="false" ht="15" hidden="false" customHeight="false" outlineLevel="0" collapsed="false"/>
    <row r="2465" customFormat="false" ht="15" hidden="false" customHeight="false" outlineLevel="0" collapsed="false"/>
    <row r="2466" customFormat="false" ht="15" hidden="false" customHeight="false" outlineLevel="0" collapsed="false"/>
    <row r="2467" customFormat="false" ht="15" hidden="false" customHeight="false" outlineLevel="0" collapsed="false"/>
    <row r="2468" customFormat="false" ht="15" hidden="false" customHeight="false" outlineLevel="0" collapsed="false"/>
    <row r="2469" customFormat="false" ht="15" hidden="false" customHeight="false" outlineLevel="0" collapsed="false"/>
    <row r="2470" customFormat="false" ht="15" hidden="false" customHeight="false" outlineLevel="0" collapsed="false"/>
    <row r="2471" customFormat="false" ht="15" hidden="false" customHeight="false" outlineLevel="0" collapsed="false"/>
    <row r="2472" customFormat="false" ht="15" hidden="false" customHeight="false" outlineLevel="0" collapsed="false"/>
    <row r="2473" customFormat="false" ht="15" hidden="false" customHeight="false" outlineLevel="0" collapsed="false"/>
    <row r="2474" customFormat="false" ht="15" hidden="false" customHeight="false" outlineLevel="0" collapsed="false"/>
    <row r="2475" customFormat="false" ht="15" hidden="false" customHeight="false" outlineLevel="0" collapsed="false"/>
    <row r="2476" customFormat="false" ht="15" hidden="false" customHeight="false" outlineLevel="0" collapsed="false"/>
    <row r="2477" customFormat="false" ht="15" hidden="false" customHeight="false" outlineLevel="0" collapsed="false"/>
    <row r="2478" customFormat="false" ht="15" hidden="false" customHeight="false" outlineLevel="0" collapsed="false"/>
    <row r="2479" customFormat="false" ht="15" hidden="false" customHeight="false" outlineLevel="0" collapsed="false"/>
    <row r="2480" customFormat="false" ht="15" hidden="false" customHeight="false" outlineLevel="0" collapsed="false"/>
    <row r="2481" customFormat="false" ht="15" hidden="false" customHeight="false" outlineLevel="0" collapsed="false"/>
    <row r="2482" customFormat="false" ht="15" hidden="false" customHeight="false" outlineLevel="0" collapsed="false"/>
    <row r="2483" customFormat="false" ht="15" hidden="false" customHeight="false" outlineLevel="0" collapsed="false"/>
    <row r="2484" customFormat="false" ht="15" hidden="false" customHeight="false" outlineLevel="0" collapsed="false"/>
    <row r="2485" customFormat="false" ht="15" hidden="false" customHeight="false" outlineLevel="0" collapsed="false"/>
    <row r="2486" customFormat="false" ht="15" hidden="false" customHeight="false" outlineLevel="0" collapsed="false"/>
    <row r="2487" customFormat="false" ht="15" hidden="false" customHeight="false" outlineLevel="0" collapsed="false"/>
    <row r="2488" customFormat="false" ht="15" hidden="false" customHeight="false" outlineLevel="0" collapsed="false"/>
    <row r="2489" customFormat="false" ht="15" hidden="false" customHeight="false" outlineLevel="0" collapsed="false"/>
    <row r="2490" customFormat="false" ht="15" hidden="false" customHeight="false" outlineLevel="0" collapsed="false"/>
    <row r="2491" customFormat="false" ht="15" hidden="false" customHeight="false" outlineLevel="0" collapsed="false"/>
    <row r="2492" customFormat="false" ht="15" hidden="false" customHeight="false" outlineLevel="0" collapsed="false"/>
    <row r="2493" customFormat="false" ht="15" hidden="false" customHeight="false" outlineLevel="0" collapsed="false"/>
    <row r="2494" customFormat="false" ht="15" hidden="false" customHeight="false" outlineLevel="0" collapsed="false"/>
    <row r="2495" customFormat="false" ht="15" hidden="false" customHeight="false" outlineLevel="0" collapsed="false"/>
    <row r="2496" customFormat="false" ht="15" hidden="false" customHeight="false" outlineLevel="0" collapsed="false"/>
    <row r="2497" customFormat="false" ht="15" hidden="false" customHeight="false" outlineLevel="0" collapsed="false"/>
    <row r="2498" customFormat="false" ht="15" hidden="false" customHeight="false" outlineLevel="0" collapsed="false"/>
    <row r="2499" customFormat="false" ht="15" hidden="false" customHeight="false" outlineLevel="0" collapsed="false"/>
    <row r="2500" customFormat="false" ht="15" hidden="false" customHeight="false" outlineLevel="0" collapsed="false"/>
    <row r="2501" customFormat="false" ht="15" hidden="false" customHeight="false" outlineLevel="0" collapsed="false"/>
    <row r="2502" customFormat="false" ht="15" hidden="false" customHeight="false" outlineLevel="0" collapsed="false"/>
    <row r="2503" customFormat="false" ht="15" hidden="false" customHeight="false" outlineLevel="0" collapsed="false"/>
    <row r="2504" customFormat="false" ht="15" hidden="false" customHeight="false" outlineLevel="0" collapsed="false"/>
    <row r="2505" customFormat="false" ht="15" hidden="false" customHeight="false" outlineLevel="0" collapsed="false"/>
    <row r="2506" customFormat="false" ht="15" hidden="false" customHeight="false" outlineLevel="0" collapsed="false"/>
    <row r="2507" customFormat="false" ht="15" hidden="false" customHeight="false" outlineLevel="0" collapsed="false"/>
    <row r="2508" customFormat="false" ht="15" hidden="false" customHeight="false" outlineLevel="0" collapsed="false"/>
    <row r="2509" customFormat="false" ht="15" hidden="false" customHeight="false" outlineLevel="0" collapsed="false"/>
    <row r="2510" customFormat="false" ht="15" hidden="false" customHeight="false" outlineLevel="0" collapsed="false"/>
    <row r="2511" customFormat="false" ht="15" hidden="false" customHeight="false" outlineLevel="0" collapsed="false"/>
    <row r="2512" customFormat="false" ht="15" hidden="false" customHeight="false" outlineLevel="0" collapsed="false"/>
    <row r="2513" customFormat="false" ht="15" hidden="false" customHeight="false" outlineLevel="0" collapsed="false"/>
    <row r="2514" customFormat="false" ht="15" hidden="false" customHeight="false" outlineLevel="0" collapsed="false"/>
    <row r="2515" customFormat="false" ht="15" hidden="false" customHeight="false" outlineLevel="0" collapsed="false"/>
    <row r="2516" customFormat="false" ht="15" hidden="false" customHeight="false" outlineLevel="0" collapsed="false"/>
    <row r="2517" customFormat="false" ht="15" hidden="false" customHeight="false" outlineLevel="0" collapsed="false"/>
    <row r="2518" customFormat="false" ht="15" hidden="false" customHeight="false" outlineLevel="0" collapsed="false"/>
    <row r="2519" customFormat="false" ht="15" hidden="false" customHeight="false" outlineLevel="0" collapsed="false"/>
    <row r="2520" customFormat="false" ht="15" hidden="false" customHeight="false" outlineLevel="0" collapsed="false"/>
    <row r="2521" customFormat="false" ht="15" hidden="false" customHeight="false" outlineLevel="0" collapsed="false"/>
    <row r="2522" customFormat="false" ht="15" hidden="false" customHeight="false" outlineLevel="0" collapsed="false"/>
    <row r="2523" customFormat="false" ht="15" hidden="false" customHeight="false" outlineLevel="0" collapsed="false"/>
    <row r="2524" customFormat="false" ht="15" hidden="false" customHeight="false" outlineLevel="0" collapsed="false"/>
    <row r="2525" customFormat="false" ht="15" hidden="false" customHeight="false" outlineLevel="0" collapsed="false"/>
    <row r="2526" customFormat="false" ht="15" hidden="false" customHeight="false" outlineLevel="0" collapsed="false"/>
    <row r="2527" customFormat="false" ht="15" hidden="false" customHeight="false" outlineLevel="0" collapsed="false"/>
    <row r="2528" customFormat="false" ht="15" hidden="false" customHeight="false" outlineLevel="0" collapsed="false"/>
    <row r="2529" customFormat="false" ht="15" hidden="false" customHeight="false" outlineLevel="0" collapsed="false"/>
    <row r="2530" customFormat="false" ht="15" hidden="false" customHeight="false" outlineLevel="0" collapsed="false"/>
    <row r="2531" customFormat="false" ht="15" hidden="false" customHeight="false" outlineLevel="0" collapsed="false"/>
    <row r="2532" customFormat="false" ht="15" hidden="false" customHeight="false" outlineLevel="0" collapsed="false"/>
    <row r="2533" customFormat="false" ht="15" hidden="false" customHeight="false" outlineLevel="0" collapsed="false"/>
    <row r="2534" customFormat="false" ht="15" hidden="false" customHeight="false" outlineLevel="0" collapsed="false"/>
    <row r="2535" customFormat="false" ht="15" hidden="false" customHeight="false" outlineLevel="0" collapsed="false"/>
    <row r="2536" customFormat="false" ht="15" hidden="false" customHeight="false" outlineLevel="0" collapsed="false"/>
    <row r="2537" customFormat="false" ht="15" hidden="false" customHeight="false" outlineLevel="0" collapsed="false"/>
    <row r="2538" customFormat="false" ht="15" hidden="false" customHeight="false" outlineLevel="0" collapsed="false"/>
    <row r="2539" customFormat="false" ht="15" hidden="false" customHeight="false" outlineLevel="0" collapsed="false"/>
    <row r="2540" customFormat="false" ht="15" hidden="false" customHeight="false" outlineLevel="0" collapsed="false"/>
    <row r="2541" customFormat="false" ht="15" hidden="false" customHeight="false" outlineLevel="0" collapsed="false"/>
    <row r="2542" customFormat="false" ht="15" hidden="false" customHeight="false" outlineLevel="0" collapsed="false"/>
    <row r="2543" customFormat="false" ht="15" hidden="false" customHeight="false" outlineLevel="0" collapsed="false"/>
    <row r="2544" customFormat="false" ht="15" hidden="false" customHeight="false" outlineLevel="0" collapsed="false"/>
    <row r="2545" customFormat="false" ht="15" hidden="false" customHeight="false" outlineLevel="0" collapsed="false"/>
    <row r="2546" customFormat="false" ht="15" hidden="false" customHeight="false" outlineLevel="0" collapsed="false"/>
    <row r="2547" customFormat="false" ht="15" hidden="false" customHeight="false" outlineLevel="0" collapsed="false"/>
    <row r="2548" customFormat="false" ht="15" hidden="false" customHeight="false" outlineLevel="0" collapsed="false"/>
    <row r="2549" customFormat="false" ht="15" hidden="false" customHeight="false" outlineLevel="0" collapsed="false"/>
    <row r="2550" customFormat="false" ht="15" hidden="false" customHeight="false" outlineLevel="0" collapsed="false"/>
    <row r="2551" customFormat="false" ht="15" hidden="false" customHeight="false" outlineLevel="0" collapsed="false"/>
    <row r="2552" customFormat="false" ht="15" hidden="false" customHeight="false" outlineLevel="0" collapsed="false"/>
    <row r="2553" customFormat="false" ht="15" hidden="false" customHeight="false" outlineLevel="0" collapsed="false"/>
    <row r="2554" customFormat="false" ht="15" hidden="false" customHeight="false" outlineLevel="0" collapsed="false"/>
    <row r="2555" customFormat="false" ht="15" hidden="false" customHeight="false" outlineLevel="0" collapsed="false"/>
    <row r="2556" customFormat="false" ht="15" hidden="false" customHeight="false" outlineLevel="0" collapsed="false"/>
    <row r="2557" customFormat="false" ht="15" hidden="false" customHeight="false" outlineLevel="0" collapsed="false"/>
    <row r="2558" customFormat="false" ht="15" hidden="false" customHeight="false" outlineLevel="0" collapsed="false"/>
    <row r="2559" customFormat="false" ht="15" hidden="false" customHeight="false" outlineLevel="0" collapsed="false"/>
    <row r="2560" customFormat="false" ht="15" hidden="false" customHeight="false" outlineLevel="0" collapsed="false"/>
    <row r="2561" customFormat="false" ht="15" hidden="false" customHeight="false" outlineLevel="0" collapsed="false"/>
    <row r="2562" customFormat="false" ht="15" hidden="false" customHeight="false" outlineLevel="0" collapsed="false"/>
    <row r="2563" customFormat="false" ht="15" hidden="false" customHeight="false" outlineLevel="0" collapsed="false"/>
    <row r="2564" customFormat="false" ht="15" hidden="false" customHeight="false" outlineLevel="0" collapsed="false"/>
    <row r="2565" customFormat="false" ht="15" hidden="false" customHeight="false" outlineLevel="0" collapsed="false"/>
    <row r="2566" customFormat="false" ht="15" hidden="false" customHeight="false" outlineLevel="0" collapsed="false"/>
    <row r="2567" customFormat="false" ht="15" hidden="false" customHeight="false" outlineLevel="0" collapsed="false"/>
    <row r="2568" customFormat="false" ht="15" hidden="false" customHeight="false" outlineLevel="0" collapsed="false"/>
    <row r="2569" customFormat="false" ht="15" hidden="false" customHeight="false" outlineLevel="0" collapsed="false"/>
    <row r="2570" customFormat="false" ht="15" hidden="false" customHeight="false" outlineLevel="0" collapsed="false"/>
    <row r="2571" customFormat="false" ht="15" hidden="false" customHeight="false" outlineLevel="0" collapsed="false"/>
    <row r="2572" customFormat="false" ht="15" hidden="false" customHeight="false" outlineLevel="0" collapsed="false"/>
    <row r="2573" customFormat="false" ht="15" hidden="false" customHeight="false" outlineLevel="0" collapsed="false"/>
    <row r="2574" customFormat="false" ht="15" hidden="false" customHeight="false" outlineLevel="0" collapsed="false"/>
    <row r="2575" customFormat="false" ht="15" hidden="false" customHeight="false" outlineLevel="0" collapsed="false"/>
    <row r="2576" customFormat="false" ht="15" hidden="false" customHeight="false" outlineLevel="0" collapsed="false"/>
    <row r="2577" customFormat="false" ht="15" hidden="false" customHeight="false" outlineLevel="0" collapsed="false"/>
    <row r="2578" customFormat="false" ht="15" hidden="false" customHeight="false" outlineLevel="0" collapsed="false"/>
    <row r="2579" customFormat="false" ht="15" hidden="false" customHeight="false" outlineLevel="0" collapsed="false"/>
    <row r="2580" customFormat="false" ht="15" hidden="false" customHeight="false" outlineLevel="0" collapsed="false"/>
    <row r="2581" customFormat="false" ht="15" hidden="false" customHeight="false" outlineLevel="0" collapsed="false"/>
    <row r="2582" customFormat="false" ht="15" hidden="false" customHeight="false" outlineLevel="0" collapsed="false"/>
    <row r="2583" customFormat="false" ht="15" hidden="false" customHeight="false" outlineLevel="0" collapsed="false"/>
    <row r="2584" customFormat="false" ht="15" hidden="false" customHeight="false" outlineLevel="0" collapsed="false"/>
    <row r="2585" customFormat="false" ht="15" hidden="false" customHeight="false" outlineLevel="0" collapsed="false"/>
    <row r="2586" customFormat="false" ht="15" hidden="false" customHeight="false" outlineLevel="0" collapsed="false"/>
    <row r="2587" customFormat="false" ht="15" hidden="false" customHeight="false" outlineLevel="0" collapsed="false"/>
    <row r="2588" customFormat="false" ht="15" hidden="false" customHeight="false" outlineLevel="0" collapsed="false"/>
    <row r="2589" customFormat="false" ht="15" hidden="false" customHeight="false" outlineLevel="0" collapsed="false"/>
    <row r="2590" customFormat="false" ht="15" hidden="false" customHeight="false" outlineLevel="0" collapsed="false"/>
    <row r="2591" customFormat="false" ht="15" hidden="false" customHeight="false" outlineLevel="0" collapsed="false"/>
    <row r="2592" customFormat="false" ht="15" hidden="false" customHeight="false" outlineLevel="0" collapsed="false"/>
    <row r="2593" customFormat="false" ht="15" hidden="false" customHeight="false" outlineLevel="0" collapsed="false"/>
    <row r="2594" customFormat="false" ht="15" hidden="false" customHeight="false" outlineLevel="0" collapsed="false"/>
    <row r="2595" customFormat="false" ht="15" hidden="false" customHeight="false" outlineLevel="0" collapsed="false"/>
    <row r="2596" customFormat="false" ht="15" hidden="false" customHeight="false" outlineLevel="0" collapsed="false"/>
    <row r="2597" customFormat="false" ht="15" hidden="false" customHeight="false" outlineLevel="0" collapsed="false"/>
    <row r="2598" customFormat="false" ht="15" hidden="false" customHeight="false" outlineLevel="0" collapsed="false"/>
    <row r="2599" customFormat="false" ht="15" hidden="false" customHeight="false" outlineLevel="0" collapsed="false"/>
    <row r="2600" customFormat="false" ht="15" hidden="false" customHeight="false" outlineLevel="0" collapsed="false"/>
    <row r="2601" customFormat="false" ht="15" hidden="false" customHeight="false" outlineLevel="0" collapsed="false"/>
    <row r="2602" customFormat="false" ht="15" hidden="false" customHeight="false" outlineLevel="0" collapsed="false"/>
    <row r="2603" customFormat="false" ht="15" hidden="false" customHeight="false" outlineLevel="0" collapsed="false"/>
    <row r="2604" customFormat="false" ht="15" hidden="false" customHeight="false" outlineLevel="0" collapsed="false"/>
    <row r="2605" customFormat="false" ht="15" hidden="false" customHeight="false" outlineLevel="0" collapsed="false"/>
    <row r="2606" customFormat="false" ht="15" hidden="false" customHeight="false" outlineLevel="0" collapsed="false"/>
    <row r="2607" customFormat="false" ht="15" hidden="false" customHeight="false" outlineLevel="0" collapsed="false"/>
    <row r="2608" customFormat="false" ht="15" hidden="false" customHeight="false" outlineLevel="0" collapsed="false"/>
    <row r="2609" customFormat="false" ht="15" hidden="false" customHeight="false" outlineLevel="0" collapsed="false"/>
    <row r="2610" customFormat="false" ht="15" hidden="false" customHeight="false" outlineLevel="0" collapsed="false"/>
    <row r="2611" customFormat="false" ht="15" hidden="false" customHeight="false" outlineLevel="0" collapsed="false"/>
    <row r="2612" customFormat="false" ht="15" hidden="false" customHeight="false" outlineLevel="0" collapsed="false"/>
    <row r="2613" customFormat="false" ht="15" hidden="false" customHeight="false" outlineLevel="0" collapsed="false"/>
    <row r="2614" customFormat="false" ht="15" hidden="false" customHeight="false" outlineLevel="0" collapsed="false"/>
    <row r="2615" customFormat="false" ht="15" hidden="false" customHeight="false" outlineLevel="0" collapsed="false"/>
    <row r="2616" customFormat="false" ht="15" hidden="false" customHeight="false" outlineLevel="0" collapsed="false"/>
    <row r="2617" customFormat="false" ht="15" hidden="false" customHeight="false" outlineLevel="0" collapsed="false"/>
    <row r="2618" customFormat="false" ht="15" hidden="false" customHeight="false" outlineLevel="0" collapsed="false"/>
    <row r="2619" customFormat="false" ht="15" hidden="false" customHeight="false" outlineLevel="0" collapsed="false"/>
    <row r="2620" customFormat="false" ht="15" hidden="false" customHeight="false" outlineLevel="0" collapsed="false"/>
    <row r="2621" customFormat="false" ht="15" hidden="false" customHeight="false" outlineLevel="0" collapsed="false"/>
    <row r="2622" customFormat="false" ht="15" hidden="false" customHeight="false" outlineLevel="0" collapsed="false"/>
    <row r="2623" customFormat="false" ht="15" hidden="false" customHeight="false" outlineLevel="0" collapsed="false"/>
    <row r="2624" customFormat="false" ht="15" hidden="false" customHeight="false" outlineLevel="0" collapsed="false"/>
    <row r="2625" customFormat="false" ht="15" hidden="false" customHeight="false" outlineLevel="0" collapsed="false"/>
    <row r="2626" customFormat="false" ht="15" hidden="false" customHeight="false" outlineLevel="0" collapsed="false"/>
    <row r="2627" customFormat="false" ht="15" hidden="false" customHeight="false" outlineLevel="0" collapsed="false"/>
    <row r="2628" customFormat="false" ht="15" hidden="false" customHeight="false" outlineLevel="0" collapsed="false"/>
    <row r="2629" customFormat="false" ht="15" hidden="false" customHeight="false" outlineLevel="0" collapsed="false"/>
    <row r="2630" customFormat="false" ht="15" hidden="false" customHeight="false" outlineLevel="0" collapsed="false"/>
    <row r="2631" customFormat="false" ht="15" hidden="false" customHeight="false" outlineLevel="0" collapsed="false"/>
    <row r="2632" customFormat="false" ht="15" hidden="false" customHeight="false" outlineLevel="0" collapsed="false"/>
    <row r="2633" customFormat="false" ht="15" hidden="false" customHeight="false" outlineLevel="0" collapsed="false"/>
    <row r="2634" customFormat="false" ht="15" hidden="false" customHeight="false" outlineLevel="0" collapsed="false"/>
    <row r="2635" customFormat="false" ht="15" hidden="false" customHeight="false" outlineLevel="0" collapsed="false"/>
    <row r="2636" customFormat="false" ht="15" hidden="false" customHeight="false" outlineLevel="0" collapsed="false"/>
    <row r="2637" customFormat="false" ht="15" hidden="false" customHeight="false" outlineLevel="0" collapsed="false"/>
    <row r="2638" customFormat="false" ht="15" hidden="false" customHeight="false" outlineLevel="0" collapsed="false"/>
    <row r="2639" customFormat="false" ht="15" hidden="false" customHeight="false" outlineLevel="0" collapsed="false"/>
    <row r="2640" customFormat="false" ht="15" hidden="false" customHeight="false" outlineLevel="0" collapsed="false"/>
    <row r="2641" customFormat="false" ht="15" hidden="false" customHeight="false" outlineLevel="0" collapsed="false"/>
    <row r="2642" customFormat="false" ht="15" hidden="false" customHeight="false" outlineLevel="0" collapsed="false"/>
    <row r="2643" customFormat="false" ht="15" hidden="false" customHeight="false" outlineLevel="0" collapsed="false"/>
    <row r="2644" customFormat="false" ht="15" hidden="false" customHeight="false" outlineLevel="0" collapsed="false"/>
    <row r="2645" customFormat="false" ht="15" hidden="false" customHeight="false" outlineLevel="0" collapsed="false"/>
    <row r="2646" customFormat="false" ht="15" hidden="false" customHeight="false" outlineLevel="0" collapsed="false"/>
    <row r="2647" customFormat="false" ht="15" hidden="false" customHeight="false" outlineLevel="0" collapsed="false"/>
    <row r="2648" customFormat="false" ht="15" hidden="false" customHeight="false" outlineLevel="0" collapsed="false"/>
    <row r="2649" customFormat="false" ht="15" hidden="false" customHeight="false" outlineLevel="0" collapsed="false"/>
    <row r="2650" customFormat="false" ht="15" hidden="false" customHeight="false" outlineLevel="0" collapsed="false"/>
    <row r="2651" customFormat="false" ht="15" hidden="false" customHeight="false" outlineLevel="0" collapsed="false"/>
    <row r="2652" customFormat="false" ht="15" hidden="false" customHeight="false" outlineLevel="0" collapsed="false"/>
    <row r="2653" customFormat="false" ht="15" hidden="false" customHeight="false" outlineLevel="0" collapsed="false"/>
    <row r="2654" customFormat="false" ht="15" hidden="false" customHeight="false" outlineLevel="0" collapsed="false"/>
    <row r="2655" customFormat="false" ht="15" hidden="false" customHeight="false" outlineLevel="0" collapsed="false"/>
    <row r="2656" customFormat="false" ht="15" hidden="false" customHeight="false" outlineLevel="0" collapsed="false"/>
    <row r="2657" customFormat="false" ht="15" hidden="false" customHeight="false" outlineLevel="0" collapsed="false"/>
    <row r="2658" customFormat="false" ht="15" hidden="false" customHeight="false" outlineLevel="0" collapsed="false"/>
    <row r="2659" customFormat="false" ht="15" hidden="false" customHeight="false" outlineLevel="0" collapsed="false"/>
    <row r="2660" customFormat="false" ht="15" hidden="false" customHeight="false" outlineLevel="0" collapsed="false"/>
    <row r="2661" customFormat="false" ht="15" hidden="false" customHeight="false" outlineLevel="0" collapsed="false"/>
    <row r="2662" customFormat="false" ht="15" hidden="false" customHeight="false" outlineLevel="0" collapsed="false"/>
    <row r="2663" customFormat="false" ht="15" hidden="false" customHeight="false" outlineLevel="0" collapsed="false"/>
    <row r="2664" customFormat="false" ht="15" hidden="false" customHeight="false" outlineLevel="0" collapsed="false"/>
    <row r="2665" customFormat="false" ht="15" hidden="false" customHeight="false" outlineLevel="0" collapsed="false"/>
    <row r="2666" customFormat="false" ht="15" hidden="false" customHeight="false" outlineLevel="0" collapsed="false"/>
    <row r="2667" customFormat="false" ht="15" hidden="false" customHeight="false" outlineLevel="0" collapsed="false"/>
    <row r="2668" customFormat="false" ht="15" hidden="false" customHeight="false" outlineLevel="0" collapsed="false"/>
    <row r="2669" customFormat="false" ht="15" hidden="false" customHeight="false" outlineLevel="0" collapsed="false"/>
    <row r="2670" customFormat="false" ht="15" hidden="false" customHeight="false" outlineLevel="0" collapsed="false"/>
    <row r="2671" customFormat="false" ht="15" hidden="false" customHeight="false" outlineLevel="0" collapsed="false"/>
    <row r="2672" customFormat="false" ht="15" hidden="false" customHeight="false" outlineLevel="0" collapsed="false"/>
    <row r="2673" customFormat="false" ht="15" hidden="false" customHeight="false" outlineLevel="0" collapsed="false"/>
    <row r="2674" customFormat="false" ht="15" hidden="false" customHeight="false" outlineLevel="0" collapsed="false"/>
    <row r="2675" customFormat="false" ht="15" hidden="false" customHeight="false" outlineLevel="0" collapsed="false"/>
    <row r="2676" customFormat="false" ht="15" hidden="false" customHeight="false" outlineLevel="0" collapsed="false"/>
    <row r="2677" customFormat="false" ht="15" hidden="false" customHeight="false" outlineLevel="0" collapsed="false"/>
    <row r="2678" customFormat="false" ht="15" hidden="false" customHeight="false" outlineLevel="0" collapsed="false"/>
    <row r="2679" customFormat="false" ht="15" hidden="false" customHeight="false" outlineLevel="0" collapsed="false"/>
    <row r="2680" customFormat="false" ht="15" hidden="false" customHeight="false" outlineLevel="0" collapsed="false"/>
    <row r="2681" customFormat="false" ht="15" hidden="false" customHeight="false" outlineLevel="0" collapsed="false"/>
    <row r="2682" customFormat="false" ht="15" hidden="false" customHeight="false" outlineLevel="0" collapsed="false"/>
    <row r="2683" customFormat="false" ht="15" hidden="false" customHeight="false" outlineLevel="0" collapsed="false"/>
    <row r="2684" customFormat="false" ht="15" hidden="false" customHeight="false" outlineLevel="0" collapsed="false"/>
    <row r="2685" customFormat="false" ht="15" hidden="false" customHeight="false" outlineLevel="0" collapsed="false"/>
    <row r="2686" customFormat="false" ht="15" hidden="false" customHeight="false" outlineLevel="0" collapsed="false"/>
    <row r="2687" customFormat="false" ht="15" hidden="false" customHeight="false" outlineLevel="0" collapsed="false"/>
    <row r="2688" customFormat="false" ht="15" hidden="false" customHeight="false" outlineLevel="0" collapsed="false"/>
    <row r="2689" customFormat="false" ht="15" hidden="false" customHeight="false" outlineLevel="0" collapsed="false"/>
    <row r="2690" customFormat="false" ht="15" hidden="false" customHeight="false" outlineLevel="0" collapsed="false"/>
    <row r="2691" customFormat="false" ht="15" hidden="false" customHeight="false" outlineLevel="0" collapsed="false"/>
    <row r="2692" customFormat="false" ht="15" hidden="false" customHeight="false" outlineLevel="0" collapsed="false"/>
    <row r="2693" customFormat="false" ht="15" hidden="false" customHeight="false" outlineLevel="0" collapsed="false"/>
    <row r="2694" customFormat="false" ht="15" hidden="false" customHeight="false" outlineLevel="0" collapsed="false"/>
    <row r="2695" customFormat="false" ht="15" hidden="false" customHeight="false" outlineLevel="0" collapsed="false"/>
    <row r="2696" customFormat="false" ht="15" hidden="false" customHeight="false" outlineLevel="0" collapsed="false"/>
    <row r="2697" customFormat="false" ht="15" hidden="false" customHeight="false" outlineLevel="0" collapsed="false"/>
    <row r="2698" customFormat="false" ht="15" hidden="false" customHeight="false" outlineLevel="0" collapsed="false"/>
    <row r="2699" customFormat="false" ht="15" hidden="false" customHeight="false" outlineLevel="0" collapsed="false"/>
    <row r="2700" customFormat="false" ht="15" hidden="false" customHeight="false" outlineLevel="0" collapsed="false"/>
    <row r="2701" customFormat="false" ht="15" hidden="false" customHeight="false" outlineLevel="0" collapsed="false"/>
    <row r="2702" customFormat="false" ht="15" hidden="false" customHeight="false" outlineLevel="0" collapsed="false"/>
    <row r="2703" customFormat="false" ht="15" hidden="false" customHeight="false" outlineLevel="0" collapsed="false"/>
    <row r="2704" customFormat="false" ht="15" hidden="false" customHeight="false" outlineLevel="0" collapsed="false"/>
    <row r="2705" customFormat="false" ht="15" hidden="false" customHeight="false" outlineLevel="0" collapsed="false"/>
    <row r="2706" customFormat="false" ht="15" hidden="false" customHeight="false" outlineLevel="0" collapsed="false"/>
    <row r="2707" customFormat="false" ht="15" hidden="false" customHeight="false" outlineLevel="0" collapsed="false"/>
    <row r="2708" customFormat="false" ht="15" hidden="false" customHeight="false" outlineLevel="0" collapsed="false"/>
    <row r="2709" customFormat="false" ht="15" hidden="false" customHeight="false" outlineLevel="0" collapsed="false"/>
    <row r="2710" customFormat="false" ht="15" hidden="false" customHeight="false" outlineLevel="0" collapsed="false"/>
    <row r="2711" customFormat="false" ht="15" hidden="false" customHeight="false" outlineLevel="0" collapsed="false"/>
    <row r="2712" customFormat="false" ht="15" hidden="false" customHeight="false" outlineLevel="0" collapsed="false"/>
    <row r="2713" customFormat="false" ht="15" hidden="false" customHeight="false" outlineLevel="0" collapsed="false"/>
    <row r="2714" customFormat="false" ht="15" hidden="false" customHeight="false" outlineLevel="0" collapsed="false"/>
    <row r="2715" customFormat="false" ht="15" hidden="false" customHeight="false" outlineLevel="0" collapsed="false"/>
    <row r="2716" customFormat="false" ht="15" hidden="false" customHeight="false" outlineLevel="0" collapsed="false"/>
    <row r="2717" customFormat="false" ht="15" hidden="false" customHeight="false" outlineLevel="0" collapsed="false"/>
    <row r="2718" customFormat="false" ht="15" hidden="false" customHeight="false" outlineLevel="0" collapsed="false"/>
    <row r="2719" customFormat="false" ht="15" hidden="false" customHeight="false" outlineLevel="0" collapsed="false"/>
    <row r="2720" customFormat="false" ht="15" hidden="false" customHeight="false" outlineLevel="0" collapsed="false"/>
    <row r="2721" customFormat="false" ht="15" hidden="false" customHeight="false" outlineLevel="0" collapsed="false"/>
    <row r="2722" customFormat="false" ht="15" hidden="false" customHeight="false" outlineLevel="0" collapsed="false"/>
    <row r="2723" customFormat="false" ht="15" hidden="false" customHeight="false" outlineLevel="0" collapsed="false"/>
    <row r="2724" customFormat="false" ht="15" hidden="false" customHeight="false" outlineLevel="0" collapsed="false"/>
    <row r="2725" customFormat="false" ht="15" hidden="false" customHeight="false" outlineLevel="0" collapsed="false"/>
    <row r="2726" customFormat="false" ht="15" hidden="false" customHeight="false" outlineLevel="0" collapsed="false"/>
    <row r="2727" customFormat="false" ht="15" hidden="false" customHeight="false" outlineLevel="0" collapsed="false"/>
    <row r="2728" customFormat="false" ht="15" hidden="false" customHeight="false" outlineLevel="0" collapsed="false"/>
    <row r="2729" customFormat="false" ht="15" hidden="false" customHeight="false" outlineLevel="0" collapsed="false"/>
    <row r="2730" customFormat="false" ht="15" hidden="false" customHeight="false" outlineLevel="0" collapsed="false"/>
    <row r="2731" customFormat="false" ht="15" hidden="false" customHeight="false" outlineLevel="0" collapsed="false"/>
    <row r="2732" customFormat="false" ht="15" hidden="false" customHeight="false" outlineLevel="0" collapsed="false"/>
    <row r="2733" customFormat="false" ht="15" hidden="false" customHeight="false" outlineLevel="0" collapsed="false"/>
    <row r="2734" customFormat="false" ht="15" hidden="false" customHeight="false" outlineLevel="0" collapsed="false"/>
    <row r="2735" customFormat="false" ht="15" hidden="false" customHeight="false" outlineLevel="0" collapsed="false"/>
    <row r="2736" customFormat="false" ht="15" hidden="false" customHeight="false" outlineLevel="0" collapsed="false"/>
    <row r="2737" customFormat="false" ht="15" hidden="false" customHeight="false" outlineLevel="0" collapsed="false"/>
    <row r="2738" customFormat="false" ht="15" hidden="false" customHeight="false" outlineLevel="0" collapsed="false"/>
    <row r="2739" customFormat="false" ht="15" hidden="false" customHeight="false" outlineLevel="0" collapsed="false"/>
    <row r="2740" customFormat="false" ht="15" hidden="false" customHeight="false" outlineLevel="0" collapsed="false"/>
    <row r="2741" customFormat="false" ht="15" hidden="false" customHeight="false" outlineLevel="0" collapsed="false"/>
    <row r="2742" customFormat="false" ht="15" hidden="false" customHeight="false" outlineLevel="0" collapsed="false"/>
    <row r="2743" customFormat="false" ht="15" hidden="false" customHeight="false" outlineLevel="0" collapsed="false"/>
    <row r="2744" customFormat="false" ht="15" hidden="false" customHeight="false" outlineLevel="0" collapsed="false"/>
    <row r="2745" customFormat="false" ht="15" hidden="false" customHeight="false" outlineLevel="0" collapsed="false"/>
    <row r="2746" customFormat="false" ht="15" hidden="false" customHeight="false" outlineLevel="0" collapsed="false"/>
    <row r="2747" customFormat="false" ht="15" hidden="false" customHeight="false" outlineLevel="0" collapsed="false"/>
    <row r="2748" customFormat="false" ht="15" hidden="false" customHeight="false" outlineLevel="0" collapsed="false"/>
    <row r="2749" customFormat="false" ht="15" hidden="false" customHeight="false" outlineLevel="0" collapsed="false"/>
    <row r="2750" customFormat="false" ht="15" hidden="false" customHeight="false" outlineLevel="0" collapsed="false"/>
    <row r="2751" customFormat="false" ht="15" hidden="false" customHeight="false" outlineLevel="0" collapsed="false"/>
    <row r="2752" customFormat="false" ht="15" hidden="false" customHeight="false" outlineLevel="0" collapsed="false"/>
    <row r="2753" customFormat="false" ht="15" hidden="false" customHeight="false" outlineLevel="0" collapsed="false"/>
    <row r="2754" customFormat="false" ht="15" hidden="false" customHeight="false" outlineLevel="0" collapsed="false"/>
    <row r="2755" customFormat="false" ht="15" hidden="false" customHeight="false" outlineLevel="0" collapsed="false"/>
    <row r="2756" customFormat="false" ht="15" hidden="false" customHeight="false" outlineLevel="0" collapsed="false"/>
    <row r="2757" customFormat="false" ht="15" hidden="false" customHeight="false" outlineLevel="0" collapsed="false"/>
    <row r="2758" customFormat="false" ht="15" hidden="false" customHeight="false" outlineLevel="0" collapsed="false"/>
    <row r="2759" customFormat="false" ht="15" hidden="false" customHeight="false" outlineLevel="0" collapsed="false"/>
    <row r="2760" customFormat="false" ht="15" hidden="false" customHeight="false" outlineLevel="0" collapsed="false"/>
    <row r="2761" customFormat="false" ht="15" hidden="false" customHeight="false" outlineLevel="0" collapsed="false"/>
    <row r="2762" customFormat="false" ht="15" hidden="false" customHeight="false" outlineLevel="0" collapsed="false"/>
    <row r="2763" customFormat="false" ht="15" hidden="false" customHeight="false" outlineLevel="0" collapsed="false"/>
    <row r="2764" customFormat="false" ht="15" hidden="false" customHeight="false" outlineLevel="0" collapsed="false"/>
    <row r="2765" customFormat="false" ht="15" hidden="false" customHeight="false" outlineLevel="0" collapsed="false"/>
    <row r="2766" customFormat="false" ht="15" hidden="false" customHeight="false" outlineLevel="0" collapsed="false"/>
    <row r="2767" customFormat="false" ht="15" hidden="false" customHeight="false" outlineLevel="0" collapsed="false"/>
    <row r="2768" customFormat="false" ht="15" hidden="false" customHeight="false" outlineLevel="0" collapsed="false"/>
    <row r="2769" customFormat="false" ht="15" hidden="false" customHeight="false" outlineLevel="0" collapsed="false"/>
    <row r="2770" customFormat="false" ht="15" hidden="false" customHeight="false" outlineLevel="0" collapsed="false"/>
    <row r="2771" customFormat="false" ht="15" hidden="false" customHeight="false" outlineLevel="0" collapsed="false"/>
    <row r="2772" customFormat="false" ht="15" hidden="false" customHeight="false" outlineLevel="0" collapsed="false"/>
    <row r="2773" customFormat="false" ht="15" hidden="false" customHeight="false" outlineLevel="0" collapsed="false"/>
    <row r="2774" customFormat="false" ht="15" hidden="false" customHeight="false" outlineLevel="0" collapsed="false"/>
    <row r="2775" customFormat="false" ht="15" hidden="false" customHeight="false" outlineLevel="0" collapsed="false"/>
    <row r="2776" customFormat="false" ht="15" hidden="false" customHeight="false" outlineLevel="0" collapsed="false"/>
    <row r="2777" customFormat="false" ht="15" hidden="false" customHeight="false" outlineLevel="0" collapsed="false"/>
    <row r="2778" customFormat="false" ht="15" hidden="false" customHeight="false" outlineLevel="0" collapsed="false"/>
    <row r="2779" customFormat="false" ht="15" hidden="false" customHeight="false" outlineLevel="0" collapsed="false"/>
    <row r="2780" customFormat="false" ht="15" hidden="false" customHeight="false" outlineLevel="0" collapsed="false"/>
    <row r="2781" customFormat="false" ht="15" hidden="false" customHeight="false" outlineLevel="0" collapsed="false"/>
    <row r="2782" customFormat="false" ht="15" hidden="false" customHeight="false" outlineLevel="0" collapsed="false"/>
    <row r="2783" customFormat="false" ht="15" hidden="false" customHeight="false" outlineLevel="0" collapsed="false"/>
    <row r="2784" customFormat="false" ht="15" hidden="false" customHeight="false" outlineLevel="0" collapsed="false"/>
    <row r="2785" customFormat="false" ht="15" hidden="false" customHeight="false" outlineLevel="0" collapsed="false"/>
    <row r="2786" customFormat="false" ht="15" hidden="false" customHeight="false" outlineLevel="0" collapsed="false"/>
    <row r="2787" customFormat="false" ht="15" hidden="false" customHeight="false" outlineLevel="0" collapsed="false"/>
    <row r="2788" customFormat="false" ht="15" hidden="false" customHeight="false" outlineLevel="0" collapsed="false"/>
    <row r="2789" customFormat="false" ht="15" hidden="false" customHeight="false" outlineLevel="0" collapsed="false"/>
    <row r="2790" customFormat="false" ht="15" hidden="false" customHeight="false" outlineLevel="0" collapsed="false"/>
    <row r="2791" customFormat="false" ht="15" hidden="false" customHeight="false" outlineLevel="0" collapsed="false"/>
    <row r="2792" customFormat="false" ht="15" hidden="false" customHeight="false" outlineLevel="0" collapsed="false"/>
    <row r="2793" customFormat="false" ht="15" hidden="false" customHeight="false" outlineLevel="0" collapsed="false"/>
    <row r="2794" customFormat="false" ht="15" hidden="false" customHeight="false" outlineLevel="0" collapsed="false"/>
    <row r="2795" customFormat="false" ht="15" hidden="false" customHeight="false" outlineLevel="0" collapsed="false"/>
    <row r="2796" customFormat="false" ht="15" hidden="false" customHeight="false" outlineLevel="0" collapsed="false"/>
    <row r="2797" customFormat="false" ht="15" hidden="false" customHeight="false" outlineLevel="0" collapsed="false"/>
    <row r="2798" customFormat="false" ht="15" hidden="false" customHeight="false" outlineLevel="0" collapsed="false"/>
    <row r="2799" customFormat="false" ht="15" hidden="false" customHeight="false" outlineLevel="0" collapsed="false"/>
    <row r="2800" customFormat="false" ht="15" hidden="false" customHeight="false" outlineLevel="0" collapsed="false"/>
    <row r="2801" customFormat="false" ht="15" hidden="false" customHeight="false" outlineLevel="0" collapsed="false"/>
    <row r="2802" customFormat="false" ht="15" hidden="false" customHeight="false" outlineLevel="0" collapsed="false"/>
    <row r="2803" customFormat="false" ht="15" hidden="false" customHeight="false" outlineLevel="0" collapsed="false"/>
    <row r="2804" customFormat="false" ht="15" hidden="false" customHeight="false" outlineLevel="0" collapsed="false"/>
    <row r="2805" customFormat="false" ht="15" hidden="false" customHeight="false" outlineLevel="0" collapsed="false"/>
    <row r="2806" customFormat="false" ht="15" hidden="false" customHeight="false" outlineLevel="0" collapsed="false"/>
    <row r="2807" customFormat="false" ht="15" hidden="false" customHeight="false" outlineLevel="0" collapsed="false"/>
    <row r="2808" customFormat="false" ht="15" hidden="false" customHeight="false" outlineLevel="0" collapsed="false"/>
    <row r="2809" customFormat="false" ht="15" hidden="false" customHeight="false" outlineLevel="0" collapsed="false"/>
    <row r="2810" customFormat="false" ht="15" hidden="false" customHeight="false" outlineLevel="0" collapsed="false"/>
    <row r="2811" customFormat="false" ht="15" hidden="false" customHeight="false" outlineLevel="0" collapsed="false"/>
    <row r="2812" customFormat="false" ht="15" hidden="false" customHeight="false" outlineLevel="0" collapsed="false"/>
    <row r="2813" customFormat="false" ht="15" hidden="false" customHeight="false" outlineLevel="0" collapsed="false"/>
    <row r="2814" customFormat="false" ht="15" hidden="false" customHeight="false" outlineLevel="0" collapsed="false"/>
    <row r="2815" customFormat="false" ht="15" hidden="false" customHeight="false" outlineLevel="0" collapsed="false"/>
    <row r="2816" customFormat="false" ht="15" hidden="false" customHeight="false" outlineLevel="0" collapsed="false"/>
    <row r="2817" customFormat="false" ht="15" hidden="false" customHeight="false" outlineLevel="0" collapsed="false"/>
    <row r="2818" customFormat="false" ht="15" hidden="false" customHeight="false" outlineLevel="0" collapsed="false"/>
    <row r="2819" customFormat="false" ht="15" hidden="false" customHeight="false" outlineLevel="0" collapsed="false"/>
    <row r="2820" customFormat="false" ht="15" hidden="false" customHeight="false" outlineLevel="0" collapsed="false"/>
    <row r="2821" customFormat="false" ht="15" hidden="false" customHeight="false" outlineLevel="0" collapsed="false"/>
    <row r="2822" customFormat="false" ht="15" hidden="false" customHeight="false" outlineLevel="0" collapsed="false"/>
    <row r="2823" customFormat="false" ht="15" hidden="false" customHeight="false" outlineLevel="0" collapsed="false"/>
    <row r="2824" customFormat="false" ht="15" hidden="false" customHeight="false" outlineLevel="0" collapsed="false"/>
    <row r="2825" customFormat="false" ht="15" hidden="false" customHeight="false" outlineLevel="0" collapsed="false"/>
    <row r="2826" customFormat="false" ht="15" hidden="false" customHeight="false" outlineLevel="0" collapsed="false"/>
    <row r="2827" customFormat="false" ht="15" hidden="false" customHeight="false" outlineLevel="0" collapsed="false"/>
    <row r="2828" customFormat="false" ht="15" hidden="false" customHeight="false" outlineLevel="0" collapsed="false"/>
    <row r="2829" customFormat="false" ht="15" hidden="false" customHeight="false" outlineLevel="0" collapsed="false"/>
    <row r="2830" customFormat="false" ht="15" hidden="false" customHeight="false" outlineLevel="0" collapsed="false"/>
    <row r="2831" customFormat="false" ht="15" hidden="false" customHeight="false" outlineLevel="0" collapsed="false"/>
    <row r="2832" customFormat="false" ht="15" hidden="false" customHeight="false" outlineLevel="0" collapsed="false"/>
    <row r="2833" customFormat="false" ht="15" hidden="false" customHeight="false" outlineLevel="0" collapsed="false"/>
    <row r="2834" customFormat="false" ht="15" hidden="false" customHeight="false" outlineLevel="0" collapsed="false"/>
    <row r="2835" customFormat="false" ht="15" hidden="false" customHeight="false" outlineLevel="0" collapsed="false"/>
    <row r="2836" customFormat="false" ht="15" hidden="false" customHeight="false" outlineLevel="0" collapsed="false"/>
    <row r="2837" customFormat="false" ht="15" hidden="false" customHeight="false" outlineLevel="0" collapsed="false"/>
    <row r="2838" customFormat="false" ht="15" hidden="false" customHeight="false" outlineLevel="0" collapsed="false"/>
    <row r="2839" customFormat="false" ht="15" hidden="false" customHeight="false" outlineLevel="0" collapsed="false"/>
    <row r="2840" customFormat="false" ht="15" hidden="false" customHeight="false" outlineLevel="0" collapsed="false"/>
    <row r="2841" customFormat="false" ht="15" hidden="false" customHeight="false" outlineLevel="0" collapsed="false"/>
    <row r="2842" customFormat="false" ht="15" hidden="false" customHeight="false" outlineLevel="0" collapsed="false"/>
    <row r="2843" customFormat="false" ht="15" hidden="false" customHeight="false" outlineLevel="0" collapsed="false"/>
    <row r="2844" customFormat="false" ht="15" hidden="false" customHeight="false" outlineLevel="0" collapsed="false"/>
    <row r="2845" customFormat="false" ht="15" hidden="false" customHeight="false" outlineLevel="0" collapsed="false"/>
    <row r="2846" customFormat="false" ht="15" hidden="false" customHeight="false" outlineLevel="0" collapsed="false"/>
    <row r="2847" customFormat="false" ht="15" hidden="false" customHeight="false" outlineLevel="0" collapsed="false"/>
    <row r="2848" customFormat="false" ht="15" hidden="false" customHeight="false" outlineLevel="0" collapsed="false"/>
    <row r="2849" customFormat="false" ht="15" hidden="false" customHeight="false" outlineLevel="0" collapsed="false"/>
    <row r="2850" customFormat="false" ht="15" hidden="false" customHeight="false" outlineLevel="0" collapsed="false"/>
    <row r="2851" customFormat="false" ht="15" hidden="false" customHeight="false" outlineLevel="0" collapsed="false"/>
    <row r="2852" customFormat="false" ht="15" hidden="false" customHeight="false" outlineLevel="0" collapsed="false"/>
    <row r="2853" customFormat="false" ht="15" hidden="false" customHeight="false" outlineLevel="0" collapsed="false"/>
    <row r="2854" customFormat="false" ht="15" hidden="false" customHeight="false" outlineLevel="0" collapsed="false"/>
    <row r="2855" customFormat="false" ht="15" hidden="false" customHeight="false" outlineLevel="0" collapsed="false"/>
    <row r="2856" customFormat="false" ht="15" hidden="false" customHeight="false" outlineLevel="0" collapsed="false"/>
    <row r="2857" customFormat="false" ht="15" hidden="false" customHeight="false" outlineLevel="0" collapsed="false"/>
    <row r="2858" customFormat="false" ht="15" hidden="false" customHeight="false" outlineLevel="0" collapsed="false"/>
    <row r="2859" customFormat="false" ht="15" hidden="false" customHeight="false" outlineLevel="0" collapsed="false"/>
    <row r="2860" customFormat="false" ht="15" hidden="false" customHeight="false" outlineLevel="0" collapsed="false"/>
    <row r="2861" customFormat="false" ht="15" hidden="false" customHeight="false" outlineLevel="0" collapsed="false"/>
    <row r="2862" customFormat="false" ht="15" hidden="false" customHeight="false" outlineLevel="0" collapsed="false"/>
    <row r="2863" customFormat="false" ht="15" hidden="false" customHeight="false" outlineLevel="0" collapsed="false"/>
    <row r="2864" customFormat="false" ht="15" hidden="false" customHeight="false" outlineLevel="0" collapsed="false"/>
    <row r="2865" customFormat="false" ht="15" hidden="false" customHeight="false" outlineLevel="0" collapsed="false"/>
    <row r="2866" customFormat="false" ht="15" hidden="false" customHeight="false" outlineLevel="0" collapsed="false"/>
    <row r="2867" customFormat="false" ht="15" hidden="false" customHeight="false" outlineLevel="0" collapsed="false"/>
    <row r="2868" customFormat="false" ht="15" hidden="false" customHeight="false" outlineLevel="0" collapsed="false"/>
    <row r="2869" customFormat="false" ht="15" hidden="false" customHeight="false" outlineLevel="0" collapsed="false"/>
    <row r="2870" customFormat="false" ht="15" hidden="false" customHeight="false" outlineLevel="0" collapsed="false"/>
    <row r="2871" customFormat="false" ht="15" hidden="false" customHeight="false" outlineLevel="0" collapsed="false"/>
    <row r="2872" customFormat="false" ht="15" hidden="false" customHeight="false" outlineLevel="0" collapsed="false"/>
    <row r="2873" customFormat="false" ht="15" hidden="false" customHeight="false" outlineLevel="0" collapsed="false"/>
    <row r="2874" customFormat="false" ht="15" hidden="false" customHeight="false" outlineLevel="0" collapsed="false"/>
    <row r="2875" customFormat="false" ht="15" hidden="false" customHeight="false" outlineLevel="0" collapsed="false"/>
    <row r="2876" customFormat="false" ht="15" hidden="false" customHeight="false" outlineLevel="0" collapsed="false"/>
    <row r="2877" customFormat="false" ht="15" hidden="false" customHeight="false" outlineLevel="0" collapsed="false"/>
    <row r="2878" customFormat="false" ht="15" hidden="false" customHeight="false" outlineLevel="0" collapsed="false"/>
    <row r="2879" customFormat="false" ht="15" hidden="false" customHeight="false" outlineLevel="0" collapsed="false"/>
    <row r="2880" customFormat="false" ht="15" hidden="false" customHeight="false" outlineLevel="0" collapsed="false"/>
    <row r="2881" customFormat="false" ht="15" hidden="false" customHeight="false" outlineLevel="0" collapsed="false"/>
    <row r="2882" customFormat="false" ht="15" hidden="false" customHeight="false" outlineLevel="0" collapsed="false"/>
    <row r="2883" customFormat="false" ht="15" hidden="false" customHeight="false" outlineLevel="0" collapsed="false"/>
    <row r="2884" customFormat="false" ht="15" hidden="false" customHeight="false" outlineLevel="0" collapsed="false"/>
    <row r="2885" customFormat="false" ht="15" hidden="false" customHeight="false" outlineLevel="0" collapsed="false"/>
    <row r="2886" customFormat="false" ht="15" hidden="false" customHeight="false" outlineLevel="0" collapsed="false"/>
    <row r="2887" customFormat="false" ht="15" hidden="false" customHeight="false" outlineLevel="0" collapsed="false"/>
    <row r="2888" customFormat="false" ht="15" hidden="false" customHeight="false" outlineLevel="0" collapsed="false"/>
    <row r="2889" customFormat="false" ht="15" hidden="false" customHeight="false" outlineLevel="0" collapsed="false"/>
    <row r="2890" customFormat="false" ht="15" hidden="false" customHeight="false" outlineLevel="0" collapsed="false"/>
    <row r="2891" customFormat="false" ht="15" hidden="false" customHeight="false" outlineLevel="0" collapsed="false"/>
    <row r="2892" customFormat="false" ht="15" hidden="false" customHeight="false" outlineLevel="0" collapsed="false"/>
    <row r="2893" customFormat="false" ht="15" hidden="false" customHeight="false" outlineLevel="0" collapsed="false"/>
    <row r="2894" customFormat="false" ht="15" hidden="false" customHeight="false" outlineLevel="0" collapsed="false"/>
    <row r="2895" customFormat="false" ht="15" hidden="false" customHeight="false" outlineLevel="0" collapsed="false"/>
    <row r="2896" customFormat="false" ht="15" hidden="false" customHeight="false" outlineLevel="0" collapsed="false"/>
    <row r="2897" customFormat="false" ht="15" hidden="false" customHeight="false" outlineLevel="0" collapsed="false"/>
    <row r="2898" customFormat="false" ht="15" hidden="false" customHeight="false" outlineLevel="0" collapsed="false"/>
    <row r="2899" customFormat="false" ht="15" hidden="false" customHeight="false" outlineLevel="0" collapsed="false"/>
    <row r="2900" customFormat="false" ht="15" hidden="false" customHeight="false" outlineLevel="0" collapsed="false"/>
    <row r="2901" customFormat="false" ht="15" hidden="false" customHeight="false" outlineLevel="0" collapsed="false"/>
    <row r="2902" customFormat="false" ht="15" hidden="false" customHeight="false" outlineLevel="0" collapsed="false"/>
    <row r="2903" customFormat="false" ht="15" hidden="false" customHeight="false" outlineLevel="0" collapsed="false"/>
    <row r="2904" customFormat="false" ht="15" hidden="false" customHeight="false" outlineLevel="0" collapsed="false"/>
    <row r="2905" customFormat="false" ht="15" hidden="false" customHeight="false" outlineLevel="0" collapsed="false"/>
    <row r="2906" customFormat="false" ht="15" hidden="false" customHeight="false" outlineLevel="0" collapsed="false"/>
    <row r="2907" customFormat="false" ht="15" hidden="false" customHeight="false" outlineLevel="0" collapsed="false"/>
    <row r="2908" customFormat="false" ht="15" hidden="false" customHeight="false" outlineLevel="0" collapsed="false"/>
    <row r="2909" customFormat="false" ht="15" hidden="false" customHeight="false" outlineLevel="0" collapsed="false"/>
    <row r="2910" customFormat="false" ht="15" hidden="false" customHeight="false" outlineLevel="0" collapsed="false"/>
    <row r="2911" customFormat="false" ht="15" hidden="false" customHeight="false" outlineLevel="0" collapsed="false"/>
    <row r="2912" customFormat="false" ht="15" hidden="false" customHeight="false" outlineLevel="0" collapsed="false"/>
    <row r="2913" customFormat="false" ht="15" hidden="false" customHeight="false" outlineLevel="0" collapsed="false"/>
    <row r="2914" customFormat="false" ht="15" hidden="false" customHeight="false" outlineLevel="0" collapsed="false"/>
    <row r="2915" customFormat="false" ht="15" hidden="false" customHeight="false" outlineLevel="0" collapsed="false"/>
    <row r="2916" customFormat="false" ht="15" hidden="false" customHeight="false" outlineLevel="0" collapsed="false"/>
    <row r="2917" customFormat="false" ht="15" hidden="false" customHeight="false" outlineLevel="0" collapsed="false"/>
    <row r="2918" customFormat="false" ht="15" hidden="false" customHeight="false" outlineLevel="0" collapsed="false"/>
    <row r="2919" customFormat="false" ht="15" hidden="false" customHeight="false" outlineLevel="0" collapsed="false"/>
    <row r="2920" customFormat="false" ht="15" hidden="false" customHeight="false" outlineLevel="0" collapsed="false"/>
    <row r="2921" customFormat="false" ht="15" hidden="false" customHeight="false" outlineLevel="0" collapsed="false"/>
    <row r="2922" customFormat="false" ht="15" hidden="false" customHeight="false" outlineLevel="0" collapsed="false"/>
    <row r="2923" customFormat="false" ht="15" hidden="false" customHeight="false" outlineLevel="0" collapsed="false"/>
    <row r="2924" customFormat="false" ht="15" hidden="false" customHeight="false" outlineLevel="0" collapsed="false"/>
    <row r="2925" customFormat="false" ht="15" hidden="false" customHeight="false" outlineLevel="0" collapsed="false"/>
    <row r="2926" customFormat="false" ht="15" hidden="false" customHeight="false" outlineLevel="0" collapsed="false"/>
    <row r="2927" customFormat="false" ht="15" hidden="false" customHeight="false" outlineLevel="0" collapsed="false"/>
    <row r="2928" customFormat="false" ht="15" hidden="false" customHeight="false" outlineLevel="0" collapsed="false"/>
    <row r="2929" customFormat="false" ht="15" hidden="false" customHeight="false" outlineLevel="0" collapsed="false"/>
    <row r="2930" customFormat="false" ht="15" hidden="false" customHeight="false" outlineLevel="0" collapsed="false"/>
    <row r="2931" customFormat="false" ht="15" hidden="false" customHeight="false" outlineLevel="0" collapsed="false"/>
    <row r="2932" customFormat="false" ht="15" hidden="false" customHeight="false" outlineLevel="0" collapsed="false"/>
    <row r="2933" customFormat="false" ht="15" hidden="false" customHeight="false" outlineLevel="0" collapsed="false"/>
    <row r="2934" customFormat="false" ht="15" hidden="false" customHeight="false" outlineLevel="0" collapsed="false"/>
    <row r="2935" customFormat="false" ht="15" hidden="false" customHeight="false" outlineLevel="0" collapsed="false"/>
    <row r="2936" customFormat="false" ht="15" hidden="false" customHeight="false" outlineLevel="0" collapsed="false"/>
    <row r="2937" customFormat="false" ht="15" hidden="false" customHeight="false" outlineLevel="0" collapsed="false"/>
    <row r="2938" customFormat="false" ht="15" hidden="false" customHeight="false" outlineLevel="0" collapsed="false"/>
    <row r="2939" customFormat="false" ht="15" hidden="false" customHeight="false" outlineLevel="0" collapsed="false"/>
    <row r="2940" customFormat="false" ht="15" hidden="false" customHeight="false" outlineLevel="0" collapsed="false"/>
    <row r="2941" customFormat="false" ht="15" hidden="false" customHeight="false" outlineLevel="0" collapsed="false"/>
    <row r="2942" customFormat="false" ht="15" hidden="false" customHeight="false" outlineLevel="0" collapsed="false"/>
    <row r="2943" customFormat="false" ht="15" hidden="false" customHeight="false" outlineLevel="0" collapsed="false"/>
    <row r="2944" customFormat="false" ht="15" hidden="false" customHeight="false" outlineLevel="0" collapsed="false"/>
    <row r="2945" customFormat="false" ht="15" hidden="false" customHeight="false" outlineLevel="0" collapsed="false"/>
    <row r="2946" customFormat="false" ht="15" hidden="false" customHeight="false" outlineLevel="0" collapsed="false"/>
    <row r="2947" customFormat="false" ht="15" hidden="false" customHeight="false" outlineLevel="0" collapsed="false"/>
    <row r="2948" customFormat="false" ht="15" hidden="false" customHeight="false" outlineLevel="0" collapsed="false"/>
    <row r="2949" customFormat="false" ht="15" hidden="false" customHeight="false" outlineLevel="0" collapsed="false"/>
    <row r="2950" customFormat="false" ht="15" hidden="false" customHeight="false" outlineLevel="0" collapsed="false"/>
    <row r="2951" customFormat="false" ht="15" hidden="false" customHeight="false" outlineLevel="0" collapsed="false"/>
    <row r="2952" customFormat="false" ht="15" hidden="false" customHeight="false" outlineLevel="0" collapsed="false"/>
    <row r="2953" customFormat="false" ht="15" hidden="false" customHeight="false" outlineLevel="0" collapsed="false"/>
    <row r="2954" customFormat="false" ht="15" hidden="false" customHeight="false" outlineLevel="0" collapsed="false"/>
    <row r="2955" customFormat="false" ht="15" hidden="false" customHeight="false" outlineLevel="0" collapsed="false"/>
    <row r="2956" customFormat="false" ht="15" hidden="false" customHeight="false" outlineLevel="0" collapsed="false"/>
    <row r="2957" customFormat="false" ht="15" hidden="false" customHeight="false" outlineLevel="0" collapsed="false"/>
    <row r="2958" customFormat="false" ht="15" hidden="false" customHeight="false" outlineLevel="0" collapsed="false"/>
    <row r="2959" customFormat="false" ht="15" hidden="false" customHeight="false" outlineLevel="0" collapsed="false"/>
    <row r="2960" customFormat="false" ht="15" hidden="false" customHeight="false" outlineLevel="0" collapsed="false"/>
    <row r="2961" customFormat="false" ht="15" hidden="false" customHeight="false" outlineLevel="0" collapsed="false"/>
    <row r="2962" customFormat="false" ht="15" hidden="false" customHeight="false" outlineLevel="0" collapsed="false"/>
    <row r="2963" customFormat="false" ht="15" hidden="false" customHeight="false" outlineLevel="0" collapsed="false"/>
    <row r="2964" customFormat="false" ht="15" hidden="false" customHeight="false" outlineLevel="0" collapsed="false"/>
    <row r="2965" customFormat="false" ht="15" hidden="false" customHeight="false" outlineLevel="0" collapsed="false"/>
    <row r="2966" customFormat="false" ht="15" hidden="false" customHeight="false" outlineLevel="0" collapsed="false"/>
    <row r="2967" customFormat="false" ht="15" hidden="false" customHeight="false" outlineLevel="0" collapsed="false"/>
    <row r="2968" customFormat="false" ht="15" hidden="false" customHeight="false" outlineLevel="0" collapsed="false"/>
    <row r="2969" customFormat="false" ht="15" hidden="false" customHeight="false" outlineLevel="0" collapsed="false"/>
    <row r="2970" customFormat="false" ht="15" hidden="false" customHeight="false" outlineLevel="0" collapsed="false"/>
    <row r="2971" customFormat="false" ht="15" hidden="false" customHeight="false" outlineLevel="0" collapsed="false"/>
    <row r="2972" customFormat="false" ht="15" hidden="false" customHeight="false" outlineLevel="0" collapsed="false"/>
    <row r="2973" customFormat="false" ht="15" hidden="false" customHeight="false" outlineLevel="0" collapsed="false"/>
    <row r="2974" customFormat="false" ht="15" hidden="false" customHeight="false" outlineLevel="0" collapsed="false"/>
    <row r="2975" customFormat="false" ht="15" hidden="false" customHeight="false" outlineLevel="0" collapsed="false"/>
    <row r="2976" customFormat="false" ht="15" hidden="false" customHeight="false" outlineLevel="0" collapsed="false"/>
    <row r="2977" customFormat="false" ht="15" hidden="false" customHeight="false" outlineLevel="0" collapsed="false"/>
    <row r="2978" customFormat="false" ht="15" hidden="false" customHeight="false" outlineLevel="0" collapsed="false"/>
    <row r="2979" customFormat="false" ht="15" hidden="false" customHeight="false" outlineLevel="0" collapsed="false"/>
    <row r="2980" customFormat="false" ht="15" hidden="false" customHeight="false" outlineLevel="0" collapsed="false"/>
    <row r="2981" customFormat="false" ht="15" hidden="false" customHeight="false" outlineLevel="0" collapsed="false"/>
    <row r="2982" customFormat="false" ht="15" hidden="false" customHeight="false" outlineLevel="0" collapsed="false"/>
    <row r="2983" customFormat="false" ht="15" hidden="false" customHeight="false" outlineLevel="0" collapsed="false"/>
    <row r="2984" customFormat="false" ht="15" hidden="false" customHeight="false" outlineLevel="0" collapsed="false"/>
    <row r="2985" customFormat="false" ht="15" hidden="false" customHeight="false" outlineLevel="0" collapsed="false"/>
    <row r="2986" customFormat="false" ht="15" hidden="false" customHeight="false" outlineLevel="0" collapsed="false"/>
    <row r="2987" customFormat="false" ht="15" hidden="false" customHeight="false" outlineLevel="0" collapsed="false"/>
    <row r="2988" customFormat="false" ht="15" hidden="false" customHeight="false" outlineLevel="0" collapsed="false"/>
    <row r="2989" customFormat="false" ht="15" hidden="false" customHeight="false" outlineLevel="0" collapsed="false"/>
    <row r="2990" customFormat="false" ht="15" hidden="false" customHeight="false" outlineLevel="0" collapsed="false"/>
    <row r="2991" customFormat="false" ht="15" hidden="false" customHeight="false" outlineLevel="0" collapsed="false"/>
    <row r="2992" customFormat="false" ht="15" hidden="false" customHeight="false" outlineLevel="0" collapsed="false"/>
    <row r="2993" customFormat="false" ht="15" hidden="false" customHeight="false" outlineLevel="0" collapsed="false"/>
    <row r="2994" customFormat="false" ht="15" hidden="false" customHeight="false" outlineLevel="0" collapsed="false"/>
    <row r="2995" customFormat="false" ht="15" hidden="false" customHeight="false" outlineLevel="0" collapsed="false"/>
    <row r="2996" customFormat="false" ht="15" hidden="false" customHeight="false" outlineLevel="0" collapsed="false"/>
    <row r="2997" customFormat="false" ht="15" hidden="false" customHeight="false" outlineLevel="0" collapsed="false"/>
    <row r="2998" customFormat="false" ht="15" hidden="false" customHeight="false" outlineLevel="0" collapsed="false"/>
    <row r="2999" customFormat="false" ht="15" hidden="false" customHeight="false" outlineLevel="0" collapsed="false"/>
    <row r="3000" customFormat="false" ht="15" hidden="false" customHeight="false" outlineLevel="0" collapsed="false"/>
    <row r="3001" customFormat="false" ht="15" hidden="false" customHeight="false" outlineLevel="0" collapsed="false"/>
    <row r="3002" customFormat="false" ht="15" hidden="false" customHeight="false" outlineLevel="0" collapsed="false"/>
    <row r="3003" customFormat="false" ht="15" hidden="false" customHeight="false" outlineLevel="0" collapsed="false"/>
    <row r="3004" customFormat="false" ht="15" hidden="false" customHeight="false" outlineLevel="0" collapsed="false"/>
    <row r="3005" customFormat="false" ht="15" hidden="false" customHeight="false" outlineLevel="0" collapsed="false"/>
    <row r="3006" customFormat="false" ht="15" hidden="false" customHeight="false" outlineLevel="0" collapsed="false"/>
    <row r="3007" customFormat="false" ht="15" hidden="false" customHeight="false" outlineLevel="0" collapsed="false"/>
    <row r="3008" customFormat="false" ht="15" hidden="false" customHeight="false" outlineLevel="0" collapsed="false"/>
    <row r="3009" customFormat="false" ht="15" hidden="false" customHeight="false" outlineLevel="0" collapsed="false"/>
    <row r="3010" customFormat="false" ht="15" hidden="false" customHeight="false" outlineLevel="0" collapsed="false"/>
    <row r="3011" customFormat="false" ht="15" hidden="false" customHeight="false" outlineLevel="0" collapsed="false"/>
    <row r="3012" customFormat="false" ht="15" hidden="false" customHeight="false" outlineLevel="0" collapsed="false"/>
    <row r="3013" customFormat="false" ht="15" hidden="false" customHeight="false" outlineLevel="0" collapsed="false"/>
    <row r="3014" customFormat="false" ht="15" hidden="false" customHeight="false" outlineLevel="0" collapsed="false"/>
    <row r="3015" customFormat="false" ht="15" hidden="false" customHeight="false" outlineLevel="0" collapsed="false"/>
    <row r="3016" customFormat="false" ht="15" hidden="false" customHeight="false" outlineLevel="0" collapsed="false"/>
    <row r="3017" customFormat="false" ht="15" hidden="false" customHeight="false" outlineLevel="0" collapsed="false"/>
    <row r="3018" customFormat="false" ht="15" hidden="false" customHeight="false" outlineLevel="0" collapsed="false"/>
    <row r="3019" customFormat="false" ht="15" hidden="false" customHeight="false" outlineLevel="0" collapsed="false"/>
    <row r="3020" customFormat="false" ht="15" hidden="false" customHeight="false" outlineLevel="0" collapsed="false"/>
    <row r="3021" customFormat="false" ht="15" hidden="false" customHeight="false" outlineLevel="0" collapsed="false"/>
    <row r="3022" customFormat="false" ht="15" hidden="false" customHeight="false" outlineLevel="0" collapsed="false"/>
    <row r="3023" customFormat="false" ht="15" hidden="false" customHeight="false" outlineLevel="0" collapsed="false"/>
    <row r="3024" customFormat="false" ht="15" hidden="false" customHeight="false" outlineLevel="0" collapsed="false"/>
    <row r="3025" customFormat="false" ht="15" hidden="false" customHeight="false" outlineLevel="0" collapsed="false"/>
    <row r="3026" customFormat="false" ht="15" hidden="false" customHeight="false" outlineLevel="0" collapsed="false"/>
    <row r="3027" customFormat="false" ht="15" hidden="false" customHeight="false" outlineLevel="0" collapsed="false"/>
    <row r="3028" customFormat="false" ht="15" hidden="false" customHeight="false" outlineLevel="0" collapsed="false"/>
    <row r="3029" customFormat="false" ht="15" hidden="false" customHeight="false" outlineLevel="0" collapsed="false"/>
    <row r="3030" customFormat="false" ht="15" hidden="false" customHeight="false" outlineLevel="0" collapsed="false"/>
    <row r="3031" customFormat="false" ht="15" hidden="false" customHeight="false" outlineLevel="0" collapsed="false"/>
    <row r="3032" customFormat="false" ht="15" hidden="false" customHeight="false" outlineLevel="0" collapsed="false"/>
    <row r="3033" customFormat="false" ht="15" hidden="false" customHeight="false" outlineLevel="0" collapsed="false"/>
    <row r="3034" customFormat="false" ht="15" hidden="false" customHeight="false" outlineLevel="0" collapsed="false"/>
    <row r="3035" customFormat="false" ht="15" hidden="false" customHeight="false" outlineLevel="0" collapsed="false"/>
    <row r="3036" customFormat="false" ht="15" hidden="false" customHeight="false" outlineLevel="0" collapsed="false"/>
    <row r="3037" customFormat="false" ht="15" hidden="false" customHeight="false" outlineLevel="0" collapsed="false"/>
    <row r="3038" customFormat="false" ht="15" hidden="false" customHeight="false" outlineLevel="0" collapsed="false"/>
    <row r="3039" customFormat="false" ht="15" hidden="false" customHeight="false" outlineLevel="0" collapsed="false"/>
    <row r="3040" customFormat="false" ht="15" hidden="false" customHeight="false" outlineLevel="0" collapsed="false"/>
    <row r="3041" customFormat="false" ht="15" hidden="false" customHeight="false" outlineLevel="0" collapsed="false"/>
    <row r="3042" customFormat="false" ht="15" hidden="false" customHeight="false" outlineLevel="0" collapsed="false"/>
    <row r="3043" customFormat="false" ht="15" hidden="false" customHeight="false" outlineLevel="0" collapsed="false"/>
    <row r="3044" customFormat="false" ht="15" hidden="false" customHeight="false" outlineLevel="0" collapsed="false"/>
    <row r="3045" customFormat="false" ht="15" hidden="false" customHeight="false" outlineLevel="0" collapsed="false"/>
    <row r="3046" customFormat="false" ht="15" hidden="false" customHeight="false" outlineLevel="0" collapsed="false"/>
    <row r="3047" customFormat="false" ht="15" hidden="false" customHeight="false" outlineLevel="0" collapsed="false"/>
    <row r="3048" customFormat="false" ht="15" hidden="false" customHeight="false" outlineLevel="0" collapsed="false"/>
    <row r="3049" customFormat="false" ht="15" hidden="false" customHeight="false" outlineLevel="0" collapsed="false"/>
    <row r="3050" customFormat="false" ht="15" hidden="false" customHeight="false" outlineLevel="0" collapsed="false"/>
    <row r="3051" customFormat="false" ht="15" hidden="false" customHeight="false" outlineLevel="0" collapsed="false"/>
    <row r="3052" customFormat="false" ht="15" hidden="false" customHeight="false" outlineLevel="0" collapsed="false"/>
    <row r="3053" customFormat="false" ht="15" hidden="false" customHeight="false" outlineLevel="0" collapsed="false"/>
    <row r="3054" customFormat="false" ht="15" hidden="false" customHeight="false" outlineLevel="0" collapsed="false"/>
    <row r="3055" customFormat="false" ht="15" hidden="false" customHeight="false" outlineLevel="0" collapsed="false"/>
    <row r="3056" customFormat="false" ht="15" hidden="false" customHeight="false" outlineLevel="0" collapsed="false"/>
    <row r="3057" customFormat="false" ht="15" hidden="false" customHeight="false" outlineLevel="0" collapsed="false"/>
    <row r="3058" customFormat="false" ht="15" hidden="false" customHeight="false" outlineLevel="0" collapsed="false"/>
    <row r="3059" customFormat="false" ht="15" hidden="false" customHeight="false" outlineLevel="0" collapsed="false"/>
    <row r="3060" customFormat="false" ht="15" hidden="false" customHeight="false" outlineLevel="0" collapsed="false"/>
    <row r="3061" customFormat="false" ht="15" hidden="false" customHeight="false" outlineLevel="0" collapsed="false"/>
    <row r="3062" customFormat="false" ht="15" hidden="false" customHeight="false" outlineLevel="0" collapsed="false"/>
    <row r="3063" customFormat="false" ht="15" hidden="false" customHeight="false" outlineLevel="0" collapsed="false"/>
    <row r="3064" customFormat="false" ht="15" hidden="false" customHeight="false" outlineLevel="0" collapsed="false"/>
    <row r="3065" customFormat="false" ht="15" hidden="false" customHeight="false" outlineLevel="0" collapsed="false"/>
    <row r="3066" customFormat="false" ht="15" hidden="false" customHeight="false" outlineLevel="0" collapsed="false"/>
    <row r="3067" customFormat="false" ht="15" hidden="false" customHeight="false" outlineLevel="0" collapsed="false"/>
    <row r="3068" customFormat="false" ht="15" hidden="false" customHeight="false" outlineLevel="0" collapsed="false"/>
    <row r="3069" customFormat="false" ht="15" hidden="false" customHeight="false" outlineLevel="0" collapsed="false"/>
    <row r="3070" customFormat="false" ht="15" hidden="false" customHeight="false" outlineLevel="0" collapsed="false"/>
    <row r="3071" customFormat="false" ht="15" hidden="false" customHeight="false" outlineLevel="0" collapsed="false"/>
    <row r="3072" customFormat="false" ht="15" hidden="false" customHeight="false" outlineLevel="0" collapsed="false"/>
    <row r="3073" customFormat="false" ht="15" hidden="false" customHeight="false" outlineLevel="0" collapsed="false"/>
    <row r="3074" customFormat="false" ht="15" hidden="false" customHeight="false" outlineLevel="0" collapsed="false"/>
    <row r="3075" customFormat="false" ht="15" hidden="false" customHeight="false" outlineLevel="0" collapsed="false"/>
    <row r="3076" customFormat="false" ht="15" hidden="false" customHeight="false" outlineLevel="0" collapsed="false"/>
    <row r="3077" customFormat="false" ht="15" hidden="false" customHeight="false" outlineLevel="0" collapsed="false"/>
    <row r="3078" customFormat="false" ht="15" hidden="false" customHeight="false" outlineLevel="0" collapsed="false"/>
    <row r="3079" customFormat="false" ht="15" hidden="false" customHeight="false" outlineLevel="0" collapsed="false"/>
    <row r="3080" customFormat="false" ht="15" hidden="false" customHeight="false" outlineLevel="0" collapsed="false"/>
    <row r="3081" customFormat="false" ht="15" hidden="false" customHeight="false" outlineLevel="0" collapsed="false"/>
    <row r="3082" customFormat="false" ht="15" hidden="false" customHeight="false" outlineLevel="0" collapsed="false"/>
    <row r="3083" customFormat="false" ht="15" hidden="false" customHeight="false" outlineLevel="0" collapsed="false"/>
    <row r="3084" customFormat="false" ht="15" hidden="false" customHeight="false" outlineLevel="0" collapsed="false"/>
    <row r="3085" customFormat="false" ht="15" hidden="false" customHeight="false" outlineLevel="0" collapsed="false"/>
    <row r="3086" customFormat="false" ht="15" hidden="false" customHeight="false" outlineLevel="0" collapsed="false"/>
    <row r="3087" customFormat="false" ht="15" hidden="false" customHeight="false" outlineLevel="0" collapsed="false"/>
    <row r="3088" customFormat="false" ht="15" hidden="false" customHeight="false" outlineLevel="0" collapsed="false"/>
    <row r="3089" customFormat="false" ht="15" hidden="false" customHeight="false" outlineLevel="0" collapsed="false"/>
    <row r="3090" customFormat="false" ht="15" hidden="false" customHeight="false" outlineLevel="0" collapsed="false"/>
    <row r="3091" customFormat="false" ht="15" hidden="false" customHeight="false" outlineLevel="0" collapsed="false"/>
    <row r="3092" customFormat="false" ht="15" hidden="false" customHeight="false" outlineLevel="0" collapsed="false"/>
    <row r="3093" customFormat="false" ht="15" hidden="false" customHeight="false" outlineLevel="0" collapsed="false"/>
    <row r="3094" customFormat="false" ht="15" hidden="false" customHeight="false" outlineLevel="0" collapsed="false"/>
    <row r="3095" customFormat="false" ht="15" hidden="false" customHeight="false" outlineLevel="0" collapsed="false"/>
    <row r="3096" customFormat="false" ht="15" hidden="false" customHeight="false" outlineLevel="0" collapsed="false"/>
    <row r="3097" customFormat="false" ht="15" hidden="false" customHeight="false" outlineLevel="0" collapsed="false"/>
    <row r="3098" customFormat="false" ht="15" hidden="false" customHeight="false" outlineLevel="0" collapsed="false"/>
    <row r="3099" customFormat="false" ht="15" hidden="false" customHeight="false" outlineLevel="0" collapsed="false"/>
    <row r="3100" customFormat="false" ht="15" hidden="false" customHeight="false" outlineLevel="0" collapsed="false"/>
    <row r="3101" customFormat="false" ht="15" hidden="false" customHeight="false" outlineLevel="0" collapsed="false"/>
    <row r="3102" customFormat="false" ht="15" hidden="false" customHeight="false" outlineLevel="0" collapsed="false"/>
    <row r="3103" customFormat="false" ht="15" hidden="false" customHeight="false" outlineLevel="0" collapsed="false"/>
    <row r="3104" customFormat="false" ht="15" hidden="false" customHeight="false" outlineLevel="0" collapsed="false"/>
    <row r="3105" customFormat="false" ht="15" hidden="false" customHeight="false" outlineLevel="0" collapsed="false"/>
    <row r="3106" customFormat="false" ht="15" hidden="false" customHeight="false" outlineLevel="0" collapsed="false"/>
    <row r="3107" customFormat="false" ht="15" hidden="false" customHeight="false" outlineLevel="0" collapsed="false"/>
    <row r="3108" customFormat="false" ht="15" hidden="false" customHeight="false" outlineLevel="0" collapsed="false"/>
    <row r="3109" customFormat="false" ht="15" hidden="false" customHeight="false" outlineLevel="0" collapsed="false"/>
    <row r="3110" customFormat="false" ht="15" hidden="false" customHeight="false" outlineLevel="0" collapsed="false"/>
    <row r="3111" customFormat="false" ht="15" hidden="false" customHeight="false" outlineLevel="0" collapsed="false"/>
    <row r="3112" customFormat="false" ht="15" hidden="false" customHeight="false" outlineLevel="0" collapsed="false"/>
    <row r="3113" customFormat="false" ht="15" hidden="false" customHeight="false" outlineLevel="0" collapsed="false"/>
    <row r="3114" customFormat="false" ht="15" hidden="false" customHeight="false" outlineLevel="0" collapsed="false"/>
    <row r="3115" customFormat="false" ht="15" hidden="false" customHeight="false" outlineLevel="0" collapsed="false"/>
    <row r="3116" customFormat="false" ht="15" hidden="false" customHeight="false" outlineLevel="0" collapsed="false"/>
    <row r="3117" customFormat="false" ht="15" hidden="false" customHeight="false" outlineLevel="0" collapsed="false"/>
    <row r="3118" customFormat="false" ht="15" hidden="false" customHeight="false" outlineLevel="0" collapsed="false"/>
    <row r="3119" customFormat="false" ht="15" hidden="false" customHeight="false" outlineLevel="0" collapsed="false"/>
    <row r="3120" customFormat="false" ht="15" hidden="false" customHeight="false" outlineLevel="0" collapsed="false"/>
    <row r="3121" customFormat="false" ht="15" hidden="false" customHeight="false" outlineLevel="0" collapsed="false"/>
    <row r="3122" customFormat="false" ht="15" hidden="false" customHeight="false" outlineLevel="0" collapsed="false"/>
    <row r="3123" customFormat="false" ht="15" hidden="false" customHeight="false" outlineLevel="0" collapsed="false"/>
    <row r="3124" customFormat="false" ht="15" hidden="false" customHeight="false" outlineLevel="0" collapsed="false"/>
    <row r="3125" customFormat="false" ht="15" hidden="false" customHeight="false" outlineLevel="0" collapsed="false"/>
    <row r="3126" customFormat="false" ht="15" hidden="false" customHeight="false" outlineLevel="0" collapsed="false"/>
    <row r="3127" customFormat="false" ht="15" hidden="false" customHeight="false" outlineLevel="0" collapsed="false"/>
    <row r="3128" customFormat="false" ht="15" hidden="false" customHeight="false" outlineLevel="0" collapsed="false"/>
    <row r="3129" customFormat="false" ht="15" hidden="false" customHeight="false" outlineLevel="0" collapsed="false"/>
    <row r="3130" customFormat="false" ht="15" hidden="false" customHeight="false" outlineLevel="0" collapsed="false"/>
    <row r="3131" customFormat="false" ht="15" hidden="false" customHeight="false" outlineLevel="0" collapsed="false"/>
    <row r="3132" customFormat="false" ht="15" hidden="false" customHeight="false" outlineLevel="0" collapsed="false"/>
    <row r="3133" customFormat="false" ht="15" hidden="false" customHeight="false" outlineLevel="0" collapsed="false"/>
    <row r="3134" customFormat="false" ht="15" hidden="false" customHeight="false" outlineLevel="0" collapsed="false"/>
    <row r="3135" customFormat="false" ht="15" hidden="false" customHeight="false" outlineLevel="0" collapsed="false"/>
    <row r="3136" customFormat="false" ht="15" hidden="false" customHeight="false" outlineLevel="0" collapsed="false"/>
    <row r="3137" customFormat="false" ht="15" hidden="false" customHeight="false" outlineLevel="0" collapsed="false"/>
    <row r="3138" customFormat="false" ht="15" hidden="false" customHeight="false" outlineLevel="0" collapsed="false"/>
    <row r="3139" customFormat="false" ht="15" hidden="false" customHeight="false" outlineLevel="0" collapsed="false"/>
    <row r="3140" customFormat="false" ht="15" hidden="false" customHeight="false" outlineLevel="0" collapsed="false"/>
    <row r="3141" customFormat="false" ht="15" hidden="false" customHeight="false" outlineLevel="0" collapsed="false"/>
    <row r="3142" customFormat="false" ht="15" hidden="false" customHeight="false" outlineLevel="0" collapsed="false"/>
    <row r="3143" customFormat="false" ht="15" hidden="false" customHeight="false" outlineLevel="0" collapsed="false"/>
    <row r="3144" customFormat="false" ht="15" hidden="false" customHeight="false" outlineLevel="0" collapsed="false"/>
    <row r="3145" customFormat="false" ht="15" hidden="false" customHeight="false" outlineLevel="0" collapsed="false"/>
    <row r="3146" customFormat="false" ht="15" hidden="false" customHeight="false" outlineLevel="0" collapsed="false"/>
    <row r="3147" customFormat="false" ht="15" hidden="false" customHeight="false" outlineLevel="0" collapsed="false"/>
    <row r="3148" customFormat="false" ht="15" hidden="false" customHeight="false" outlineLevel="0" collapsed="false"/>
    <row r="3149" customFormat="false" ht="15" hidden="false" customHeight="false" outlineLevel="0" collapsed="false"/>
    <row r="3150" customFormat="false" ht="15" hidden="false" customHeight="false" outlineLevel="0" collapsed="false"/>
    <row r="3151" customFormat="false" ht="15" hidden="false" customHeight="false" outlineLevel="0" collapsed="false"/>
    <row r="3152" customFormat="false" ht="15" hidden="false" customHeight="false" outlineLevel="0" collapsed="false"/>
    <row r="3153" customFormat="false" ht="15" hidden="false" customHeight="false" outlineLevel="0" collapsed="false"/>
    <row r="3154" customFormat="false" ht="15" hidden="false" customHeight="false" outlineLevel="0" collapsed="false"/>
    <row r="3155" customFormat="false" ht="15" hidden="false" customHeight="false" outlineLevel="0" collapsed="false"/>
    <row r="3156" customFormat="false" ht="15" hidden="false" customHeight="false" outlineLevel="0" collapsed="false"/>
    <row r="3157" customFormat="false" ht="15" hidden="false" customHeight="false" outlineLevel="0" collapsed="false"/>
    <row r="3158" customFormat="false" ht="15" hidden="false" customHeight="false" outlineLevel="0" collapsed="false"/>
    <row r="3159" customFormat="false" ht="15" hidden="false" customHeight="false" outlineLevel="0" collapsed="false"/>
    <row r="3160" customFormat="false" ht="15" hidden="false" customHeight="false" outlineLevel="0" collapsed="false"/>
    <row r="3161" customFormat="false" ht="15" hidden="false" customHeight="false" outlineLevel="0" collapsed="false"/>
    <row r="3162" customFormat="false" ht="15" hidden="false" customHeight="false" outlineLevel="0" collapsed="false"/>
    <row r="3163" customFormat="false" ht="15" hidden="false" customHeight="false" outlineLevel="0" collapsed="false"/>
    <row r="3164" customFormat="false" ht="15" hidden="false" customHeight="false" outlineLevel="0" collapsed="false"/>
    <row r="3165" customFormat="false" ht="15" hidden="false" customHeight="false" outlineLevel="0" collapsed="false"/>
    <row r="3166" customFormat="false" ht="15" hidden="false" customHeight="false" outlineLevel="0" collapsed="false"/>
    <row r="3167" customFormat="false" ht="15" hidden="false" customHeight="false" outlineLevel="0" collapsed="false"/>
    <row r="3168" customFormat="false" ht="15" hidden="false" customHeight="false" outlineLevel="0" collapsed="false"/>
    <row r="3169" customFormat="false" ht="15" hidden="false" customHeight="false" outlineLevel="0" collapsed="false"/>
    <row r="3170" customFormat="false" ht="15" hidden="false" customHeight="false" outlineLevel="0" collapsed="false"/>
    <row r="3171" customFormat="false" ht="15" hidden="false" customHeight="false" outlineLevel="0" collapsed="false"/>
    <row r="3172" customFormat="false" ht="15" hidden="false" customHeight="false" outlineLevel="0" collapsed="false"/>
    <row r="3173" customFormat="false" ht="15" hidden="false" customHeight="false" outlineLevel="0" collapsed="false"/>
    <row r="3174" customFormat="false" ht="15" hidden="false" customHeight="false" outlineLevel="0" collapsed="false"/>
    <row r="3175" customFormat="false" ht="15" hidden="false" customHeight="false" outlineLevel="0" collapsed="false"/>
    <row r="3176" customFormat="false" ht="15" hidden="false" customHeight="false" outlineLevel="0" collapsed="false"/>
    <row r="3177" customFormat="false" ht="15" hidden="false" customHeight="false" outlineLevel="0" collapsed="false"/>
    <row r="3178" customFormat="false" ht="15" hidden="false" customHeight="false" outlineLevel="0" collapsed="false"/>
    <row r="3179" customFormat="false" ht="15" hidden="false" customHeight="false" outlineLevel="0" collapsed="false"/>
    <row r="3180" customFormat="false" ht="15" hidden="false" customHeight="false" outlineLevel="0" collapsed="false"/>
    <row r="3181" customFormat="false" ht="15" hidden="false" customHeight="false" outlineLevel="0" collapsed="false"/>
    <row r="3182" customFormat="false" ht="15" hidden="false" customHeight="false" outlineLevel="0" collapsed="false"/>
    <row r="3183" customFormat="false" ht="15" hidden="false" customHeight="false" outlineLevel="0" collapsed="false"/>
    <row r="3184" customFormat="false" ht="15" hidden="false" customHeight="false" outlineLevel="0" collapsed="false"/>
    <row r="3185" customFormat="false" ht="15" hidden="false" customHeight="false" outlineLevel="0" collapsed="false"/>
    <row r="3186" customFormat="false" ht="15" hidden="false" customHeight="false" outlineLevel="0" collapsed="false"/>
    <row r="3187" customFormat="false" ht="15" hidden="false" customHeight="false" outlineLevel="0" collapsed="false"/>
    <row r="3188" customFormat="false" ht="15" hidden="false" customHeight="false" outlineLevel="0" collapsed="false"/>
    <row r="3189" customFormat="false" ht="15" hidden="false" customHeight="false" outlineLevel="0" collapsed="false"/>
    <row r="3190" customFormat="false" ht="15" hidden="false" customHeight="false" outlineLevel="0" collapsed="false"/>
    <row r="3191" customFormat="false" ht="15" hidden="false" customHeight="false" outlineLevel="0" collapsed="false"/>
    <row r="3192" customFormat="false" ht="15" hidden="false" customHeight="false" outlineLevel="0" collapsed="false"/>
    <row r="3193" customFormat="false" ht="15" hidden="false" customHeight="false" outlineLevel="0" collapsed="false"/>
    <row r="3194" customFormat="false" ht="15" hidden="false" customHeight="false" outlineLevel="0" collapsed="false"/>
    <row r="3195" customFormat="false" ht="15" hidden="false" customHeight="false" outlineLevel="0" collapsed="false"/>
    <row r="3196" customFormat="false" ht="15" hidden="false" customHeight="false" outlineLevel="0" collapsed="false"/>
    <row r="3197" customFormat="false" ht="15" hidden="false" customHeight="false" outlineLevel="0" collapsed="false"/>
    <row r="3198" customFormat="false" ht="15" hidden="false" customHeight="false" outlineLevel="0" collapsed="false"/>
    <row r="3199" customFormat="false" ht="15" hidden="false" customHeight="false" outlineLevel="0" collapsed="false"/>
    <row r="3200" customFormat="false" ht="15" hidden="false" customHeight="false" outlineLevel="0" collapsed="false"/>
    <row r="3201" customFormat="false" ht="15" hidden="false" customHeight="false" outlineLevel="0" collapsed="false"/>
    <row r="3202" customFormat="false" ht="15" hidden="false" customHeight="false" outlineLevel="0" collapsed="false"/>
    <row r="3203" customFormat="false" ht="15" hidden="false" customHeight="false" outlineLevel="0" collapsed="false"/>
    <row r="3204" customFormat="false" ht="15" hidden="false" customHeight="false" outlineLevel="0" collapsed="false"/>
    <row r="3205" customFormat="false" ht="15" hidden="false" customHeight="false" outlineLevel="0" collapsed="false"/>
    <row r="3206" customFormat="false" ht="15" hidden="false" customHeight="false" outlineLevel="0" collapsed="false"/>
    <row r="3207" customFormat="false" ht="15" hidden="false" customHeight="false" outlineLevel="0" collapsed="false"/>
    <row r="3208" customFormat="false" ht="15" hidden="false" customHeight="false" outlineLevel="0" collapsed="false"/>
    <row r="3209" customFormat="false" ht="15" hidden="false" customHeight="false" outlineLevel="0" collapsed="false"/>
    <row r="3210" customFormat="false" ht="15" hidden="false" customHeight="false" outlineLevel="0" collapsed="false"/>
    <row r="3211" customFormat="false" ht="15" hidden="false" customHeight="false" outlineLevel="0" collapsed="false"/>
    <row r="3212" customFormat="false" ht="15" hidden="false" customHeight="false" outlineLevel="0" collapsed="false"/>
    <row r="3213" customFormat="false" ht="15" hidden="false" customHeight="false" outlineLevel="0" collapsed="false"/>
    <row r="3214" customFormat="false" ht="15" hidden="false" customHeight="false" outlineLevel="0" collapsed="false"/>
    <row r="3215" customFormat="false" ht="15" hidden="false" customHeight="false" outlineLevel="0" collapsed="false"/>
    <row r="3216" customFormat="false" ht="15" hidden="false" customHeight="false" outlineLevel="0" collapsed="false"/>
    <row r="3217" customFormat="false" ht="15" hidden="false" customHeight="false" outlineLevel="0" collapsed="false"/>
    <row r="3218" customFormat="false" ht="15" hidden="false" customHeight="false" outlineLevel="0" collapsed="false"/>
    <row r="3219" customFormat="false" ht="15" hidden="false" customHeight="false" outlineLevel="0" collapsed="false"/>
    <row r="3220" customFormat="false" ht="15" hidden="false" customHeight="false" outlineLevel="0" collapsed="false"/>
    <row r="3221" customFormat="false" ht="15" hidden="false" customHeight="false" outlineLevel="0" collapsed="false"/>
    <row r="3222" customFormat="false" ht="15" hidden="false" customHeight="false" outlineLevel="0" collapsed="false"/>
    <row r="3223" customFormat="false" ht="15" hidden="false" customHeight="false" outlineLevel="0" collapsed="false"/>
    <row r="3224" customFormat="false" ht="15" hidden="false" customHeight="false" outlineLevel="0" collapsed="false"/>
    <row r="3225" customFormat="false" ht="15" hidden="false" customHeight="false" outlineLevel="0" collapsed="false"/>
    <row r="3226" customFormat="false" ht="15" hidden="false" customHeight="false" outlineLevel="0" collapsed="false"/>
    <row r="3227" customFormat="false" ht="15" hidden="false" customHeight="false" outlineLevel="0" collapsed="false"/>
    <row r="3228" customFormat="false" ht="15" hidden="false" customHeight="false" outlineLevel="0" collapsed="false"/>
    <row r="3229" customFormat="false" ht="15" hidden="false" customHeight="false" outlineLevel="0" collapsed="false"/>
    <row r="3230" customFormat="false" ht="15" hidden="false" customHeight="false" outlineLevel="0" collapsed="false"/>
    <row r="3231" customFormat="false" ht="15" hidden="false" customHeight="false" outlineLevel="0" collapsed="false"/>
    <row r="3232" customFormat="false" ht="15" hidden="false" customHeight="false" outlineLevel="0" collapsed="false"/>
    <row r="3233" customFormat="false" ht="15" hidden="false" customHeight="false" outlineLevel="0" collapsed="false"/>
    <row r="3234" customFormat="false" ht="15" hidden="false" customHeight="false" outlineLevel="0" collapsed="false"/>
    <row r="3235" customFormat="false" ht="15" hidden="false" customHeight="false" outlineLevel="0" collapsed="false"/>
    <row r="3236" customFormat="false" ht="15" hidden="false" customHeight="false" outlineLevel="0" collapsed="false"/>
    <row r="3237" customFormat="false" ht="15" hidden="false" customHeight="false" outlineLevel="0" collapsed="false"/>
    <row r="3238" customFormat="false" ht="15" hidden="false" customHeight="false" outlineLevel="0" collapsed="false"/>
    <row r="3239" customFormat="false" ht="15" hidden="false" customHeight="false" outlineLevel="0" collapsed="false"/>
    <row r="3240" customFormat="false" ht="15" hidden="false" customHeight="false" outlineLevel="0" collapsed="false"/>
    <row r="3241" customFormat="false" ht="15" hidden="false" customHeight="false" outlineLevel="0" collapsed="false"/>
    <row r="3242" customFormat="false" ht="15" hidden="false" customHeight="false" outlineLevel="0" collapsed="false"/>
    <row r="3243" customFormat="false" ht="15" hidden="false" customHeight="false" outlineLevel="0" collapsed="false"/>
    <row r="3244" customFormat="false" ht="15" hidden="false" customHeight="false" outlineLevel="0" collapsed="false"/>
    <row r="3245" customFormat="false" ht="15" hidden="false" customHeight="false" outlineLevel="0" collapsed="false"/>
    <row r="3246" customFormat="false" ht="15" hidden="false" customHeight="false" outlineLevel="0" collapsed="false"/>
    <row r="3247" customFormat="false" ht="15" hidden="false" customHeight="false" outlineLevel="0" collapsed="false"/>
    <row r="3248" customFormat="false" ht="15" hidden="false" customHeight="false" outlineLevel="0" collapsed="false"/>
    <row r="3249" customFormat="false" ht="15" hidden="false" customHeight="false" outlineLevel="0" collapsed="false"/>
    <row r="3250" customFormat="false" ht="15" hidden="false" customHeight="false" outlineLevel="0" collapsed="false"/>
    <row r="3251" customFormat="false" ht="15" hidden="false" customHeight="false" outlineLevel="0" collapsed="false"/>
    <row r="3252" customFormat="false" ht="15" hidden="false" customHeight="false" outlineLevel="0" collapsed="false"/>
    <row r="3253" customFormat="false" ht="15" hidden="false" customHeight="false" outlineLevel="0" collapsed="false"/>
    <row r="3254" customFormat="false" ht="15" hidden="false" customHeight="false" outlineLevel="0" collapsed="false"/>
    <row r="3255" customFormat="false" ht="15" hidden="false" customHeight="false" outlineLevel="0" collapsed="false"/>
    <row r="3256" customFormat="false" ht="15" hidden="false" customHeight="false" outlineLevel="0" collapsed="false"/>
    <row r="3257" customFormat="false" ht="15" hidden="false" customHeight="false" outlineLevel="0" collapsed="false"/>
    <row r="3258" customFormat="false" ht="15" hidden="false" customHeight="false" outlineLevel="0" collapsed="false"/>
    <row r="3259" customFormat="false" ht="15" hidden="false" customHeight="false" outlineLevel="0" collapsed="false"/>
    <row r="3260" customFormat="false" ht="15" hidden="false" customHeight="false" outlineLevel="0" collapsed="false"/>
    <row r="3261" customFormat="false" ht="15" hidden="false" customHeight="false" outlineLevel="0" collapsed="false"/>
    <row r="3262" customFormat="false" ht="15" hidden="false" customHeight="false" outlineLevel="0" collapsed="false"/>
    <row r="3263" customFormat="false" ht="15" hidden="false" customHeight="false" outlineLevel="0" collapsed="false"/>
    <row r="3264" customFormat="false" ht="15" hidden="false" customHeight="false" outlineLevel="0" collapsed="false"/>
    <row r="3265" customFormat="false" ht="15" hidden="false" customHeight="false" outlineLevel="0" collapsed="false"/>
    <row r="3266" customFormat="false" ht="15" hidden="false" customHeight="false" outlineLevel="0" collapsed="false"/>
    <row r="3267" customFormat="false" ht="15" hidden="false" customHeight="false" outlineLevel="0" collapsed="false"/>
    <row r="3268" customFormat="false" ht="15" hidden="false" customHeight="false" outlineLevel="0" collapsed="false"/>
    <row r="3269" customFormat="false" ht="15" hidden="false" customHeight="false" outlineLevel="0" collapsed="false"/>
    <row r="3270" customFormat="false" ht="15" hidden="false" customHeight="false" outlineLevel="0" collapsed="false"/>
    <row r="3271" customFormat="false" ht="15" hidden="false" customHeight="false" outlineLevel="0" collapsed="false"/>
    <row r="3272" customFormat="false" ht="15" hidden="false" customHeight="false" outlineLevel="0" collapsed="false"/>
    <row r="3273" customFormat="false" ht="15" hidden="false" customHeight="false" outlineLevel="0" collapsed="false"/>
    <row r="3274" customFormat="false" ht="15" hidden="false" customHeight="false" outlineLevel="0" collapsed="false"/>
    <row r="3275" customFormat="false" ht="15" hidden="false" customHeight="false" outlineLevel="0" collapsed="false"/>
    <row r="3276" customFormat="false" ht="15" hidden="false" customHeight="false" outlineLevel="0" collapsed="false"/>
    <row r="3277" customFormat="false" ht="15" hidden="false" customHeight="false" outlineLevel="0" collapsed="false"/>
    <row r="3278" customFormat="false" ht="15" hidden="false" customHeight="false" outlineLevel="0" collapsed="false"/>
    <row r="3279" customFormat="false" ht="15" hidden="false" customHeight="false" outlineLevel="0" collapsed="false"/>
    <row r="3280" customFormat="false" ht="15" hidden="false" customHeight="false" outlineLevel="0" collapsed="false"/>
    <row r="3281" customFormat="false" ht="15" hidden="false" customHeight="false" outlineLevel="0" collapsed="false"/>
    <row r="3282" customFormat="false" ht="15" hidden="false" customHeight="false" outlineLevel="0" collapsed="false"/>
    <row r="3283" customFormat="false" ht="15" hidden="false" customHeight="false" outlineLevel="0" collapsed="false"/>
    <row r="3284" customFormat="false" ht="15" hidden="false" customHeight="false" outlineLevel="0" collapsed="false"/>
    <row r="3285" customFormat="false" ht="15" hidden="false" customHeight="false" outlineLevel="0" collapsed="false"/>
    <row r="3286" customFormat="false" ht="15" hidden="false" customHeight="false" outlineLevel="0" collapsed="false"/>
    <row r="3287" customFormat="false" ht="15" hidden="false" customHeight="false" outlineLevel="0" collapsed="false"/>
    <row r="3288" customFormat="false" ht="15" hidden="false" customHeight="false" outlineLevel="0" collapsed="false"/>
    <row r="3289" customFormat="false" ht="15" hidden="false" customHeight="false" outlineLevel="0" collapsed="false"/>
    <row r="3290" customFormat="false" ht="15" hidden="false" customHeight="false" outlineLevel="0" collapsed="false"/>
    <row r="3291" customFormat="false" ht="15" hidden="false" customHeight="false" outlineLevel="0" collapsed="false"/>
    <row r="3292" customFormat="false" ht="15" hidden="false" customHeight="false" outlineLevel="0" collapsed="false"/>
    <row r="3293" customFormat="false" ht="15" hidden="false" customHeight="false" outlineLevel="0" collapsed="false"/>
    <row r="3294" customFormat="false" ht="15" hidden="false" customHeight="false" outlineLevel="0" collapsed="false"/>
    <row r="3295" customFormat="false" ht="15" hidden="false" customHeight="false" outlineLevel="0" collapsed="false"/>
    <row r="3296" customFormat="false" ht="15" hidden="false" customHeight="false" outlineLevel="0" collapsed="false"/>
    <row r="3297" customFormat="false" ht="15" hidden="false" customHeight="false" outlineLevel="0" collapsed="false"/>
    <row r="3298" customFormat="false" ht="15" hidden="false" customHeight="false" outlineLevel="0" collapsed="false"/>
    <row r="3299" customFormat="false" ht="15" hidden="false" customHeight="false" outlineLevel="0" collapsed="false"/>
    <row r="3300" customFormat="false" ht="15" hidden="false" customHeight="false" outlineLevel="0" collapsed="false"/>
    <row r="3301" customFormat="false" ht="15" hidden="false" customHeight="false" outlineLevel="0" collapsed="false"/>
    <row r="3302" customFormat="false" ht="15" hidden="false" customHeight="false" outlineLevel="0" collapsed="false"/>
    <row r="3303" customFormat="false" ht="15" hidden="false" customHeight="false" outlineLevel="0" collapsed="false"/>
    <row r="3304" customFormat="false" ht="15" hidden="false" customHeight="false" outlineLevel="0" collapsed="false"/>
    <row r="3305" customFormat="false" ht="15" hidden="false" customHeight="false" outlineLevel="0" collapsed="false"/>
    <row r="3306" customFormat="false" ht="15" hidden="false" customHeight="false" outlineLevel="0" collapsed="false"/>
    <row r="3307" customFormat="false" ht="15" hidden="false" customHeight="false" outlineLevel="0" collapsed="false"/>
    <row r="3308" customFormat="false" ht="15" hidden="false" customHeight="false" outlineLevel="0" collapsed="false"/>
    <row r="3309" customFormat="false" ht="15" hidden="false" customHeight="false" outlineLevel="0" collapsed="false"/>
    <row r="3310" customFormat="false" ht="15" hidden="false" customHeight="false" outlineLevel="0" collapsed="false"/>
    <row r="3311" customFormat="false" ht="15" hidden="false" customHeight="false" outlineLevel="0" collapsed="false"/>
    <row r="3312" customFormat="false" ht="15" hidden="false" customHeight="false" outlineLevel="0" collapsed="false"/>
    <row r="3313" customFormat="false" ht="15" hidden="false" customHeight="false" outlineLevel="0" collapsed="false"/>
    <row r="3314" customFormat="false" ht="15" hidden="false" customHeight="false" outlineLevel="0" collapsed="false"/>
    <row r="3315" customFormat="false" ht="15" hidden="false" customHeight="false" outlineLevel="0" collapsed="false"/>
    <row r="3316" customFormat="false" ht="15" hidden="false" customHeight="false" outlineLevel="0" collapsed="false"/>
    <row r="3317" customFormat="false" ht="15" hidden="false" customHeight="false" outlineLevel="0" collapsed="false"/>
    <row r="3318" customFormat="false" ht="15" hidden="false" customHeight="false" outlineLevel="0" collapsed="false"/>
    <row r="3319" customFormat="false" ht="15" hidden="false" customHeight="false" outlineLevel="0" collapsed="false"/>
    <row r="3320" customFormat="false" ht="15" hidden="false" customHeight="false" outlineLevel="0" collapsed="false"/>
    <row r="3321" customFormat="false" ht="15" hidden="false" customHeight="false" outlineLevel="0" collapsed="false"/>
    <row r="3322" customFormat="false" ht="15" hidden="false" customHeight="false" outlineLevel="0" collapsed="false"/>
    <row r="3323" customFormat="false" ht="15" hidden="false" customHeight="false" outlineLevel="0" collapsed="false"/>
    <row r="3324" customFormat="false" ht="15" hidden="false" customHeight="false" outlineLevel="0" collapsed="false"/>
    <row r="3325" customFormat="false" ht="15" hidden="false" customHeight="false" outlineLevel="0" collapsed="false"/>
    <row r="3326" customFormat="false" ht="15" hidden="false" customHeight="false" outlineLevel="0" collapsed="false"/>
    <row r="3327" customFormat="false" ht="15" hidden="false" customHeight="false" outlineLevel="0" collapsed="false"/>
    <row r="3328" customFormat="false" ht="15" hidden="false" customHeight="false" outlineLevel="0" collapsed="false"/>
    <row r="3329" customFormat="false" ht="15" hidden="false" customHeight="false" outlineLevel="0" collapsed="false"/>
    <row r="3330" customFormat="false" ht="15" hidden="false" customHeight="false" outlineLevel="0" collapsed="false"/>
    <row r="3331" customFormat="false" ht="15" hidden="false" customHeight="false" outlineLevel="0" collapsed="false"/>
    <row r="3332" customFormat="false" ht="15" hidden="false" customHeight="false" outlineLevel="0" collapsed="false"/>
    <row r="3333" customFormat="false" ht="15" hidden="false" customHeight="false" outlineLevel="0" collapsed="false"/>
    <row r="3334" customFormat="false" ht="15" hidden="false" customHeight="false" outlineLevel="0" collapsed="false"/>
    <row r="3335" customFormat="false" ht="15" hidden="false" customHeight="false" outlineLevel="0" collapsed="false"/>
    <row r="3336" customFormat="false" ht="15" hidden="false" customHeight="false" outlineLevel="0" collapsed="false"/>
    <row r="3337" customFormat="false" ht="15" hidden="false" customHeight="false" outlineLevel="0" collapsed="false"/>
    <row r="3338" customFormat="false" ht="15" hidden="false" customHeight="false" outlineLevel="0" collapsed="false"/>
    <row r="3339" customFormat="false" ht="15" hidden="false" customHeight="false" outlineLevel="0" collapsed="false"/>
    <row r="3340" customFormat="false" ht="15" hidden="false" customHeight="false" outlineLevel="0" collapsed="false"/>
    <row r="3341" customFormat="false" ht="15" hidden="false" customHeight="false" outlineLevel="0" collapsed="false"/>
    <row r="3342" customFormat="false" ht="15" hidden="false" customHeight="false" outlineLevel="0" collapsed="false"/>
    <row r="3343" customFormat="false" ht="15" hidden="false" customHeight="false" outlineLevel="0" collapsed="false"/>
    <row r="3344" customFormat="false" ht="15" hidden="false" customHeight="false" outlineLevel="0" collapsed="false"/>
    <row r="3345" customFormat="false" ht="15" hidden="false" customHeight="false" outlineLevel="0" collapsed="false"/>
    <row r="3346" customFormat="false" ht="15" hidden="false" customHeight="false" outlineLevel="0" collapsed="false"/>
    <row r="3347" customFormat="false" ht="15" hidden="false" customHeight="false" outlineLevel="0" collapsed="false"/>
    <row r="3348" customFormat="false" ht="15" hidden="false" customHeight="false" outlineLevel="0" collapsed="false"/>
    <row r="3349" customFormat="false" ht="15" hidden="false" customHeight="false" outlineLevel="0" collapsed="false"/>
    <row r="3350" customFormat="false" ht="15" hidden="false" customHeight="false" outlineLevel="0" collapsed="false"/>
    <row r="3351" customFormat="false" ht="15" hidden="false" customHeight="false" outlineLevel="0" collapsed="false"/>
    <row r="3352" customFormat="false" ht="15" hidden="false" customHeight="false" outlineLevel="0" collapsed="false"/>
    <row r="3353" customFormat="false" ht="15" hidden="false" customHeight="false" outlineLevel="0" collapsed="false"/>
    <row r="3354" customFormat="false" ht="15" hidden="false" customHeight="false" outlineLevel="0" collapsed="false"/>
    <row r="3355" customFormat="false" ht="15" hidden="false" customHeight="false" outlineLevel="0" collapsed="false"/>
    <row r="3356" customFormat="false" ht="15" hidden="false" customHeight="false" outlineLevel="0" collapsed="false"/>
    <row r="3357" customFormat="false" ht="15" hidden="false" customHeight="false" outlineLevel="0" collapsed="false"/>
    <row r="3358" customFormat="false" ht="15" hidden="false" customHeight="false" outlineLevel="0" collapsed="false"/>
    <row r="3359" customFormat="false" ht="15" hidden="false" customHeight="false" outlineLevel="0" collapsed="false"/>
    <row r="3360" customFormat="false" ht="15" hidden="false" customHeight="false" outlineLevel="0" collapsed="false"/>
    <row r="3361" customFormat="false" ht="15" hidden="false" customHeight="false" outlineLevel="0" collapsed="false"/>
    <row r="3362" customFormat="false" ht="15" hidden="false" customHeight="false" outlineLevel="0" collapsed="false"/>
    <row r="3363" customFormat="false" ht="15" hidden="false" customHeight="false" outlineLevel="0" collapsed="false"/>
    <row r="3364" customFormat="false" ht="15" hidden="false" customHeight="false" outlineLevel="0" collapsed="false"/>
    <row r="3365" customFormat="false" ht="15" hidden="false" customHeight="false" outlineLevel="0" collapsed="false"/>
    <row r="3366" customFormat="false" ht="15" hidden="false" customHeight="false" outlineLevel="0" collapsed="false"/>
    <row r="3367" customFormat="false" ht="15" hidden="false" customHeight="false" outlineLevel="0" collapsed="false"/>
    <row r="3368" customFormat="false" ht="15" hidden="false" customHeight="false" outlineLevel="0" collapsed="false"/>
    <row r="3369" customFormat="false" ht="15" hidden="false" customHeight="false" outlineLevel="0" collapsed="false"/>
    <row r="3370" customFormat="false" ht="15" hidden="false" customHeight="false" outlineLevel="0" collapsed="false"/>
    <row r="3371" customFormat="false" ht="15" hidden="false" customHeight="false" outlineLevel="0" collapsed="false"/>
    <row r="3372" customFormat="false" ht="15" hidden="false" customHeight="false" outlineLevel="0" collapsed="false"/>
    <row r="3373" customFormat="false" ht="15" hidden="false" customHeight="false" outlineLevel="0" collapsed="false"/>
    <row r="3374" customFormat="false" ht="15" hidden="false" customHeight="false" outlineLevel="0" collapsed="false"/>
    <row r="3375" customFormat="false" ht="15" hidden="false" customHeight="false" outlineLevel="0" collapsed="false"/>
    <row r="3376" customFormat="false" ht="15" hidden="false" customHeight="false" outlineLevel="0" collapsed="false"/>
    <row r="3377" customFormat="false" ht="15" hidden="false" customHeight="false" outlineLevel="0" collapsed="false"/>
    <row r="3378" customFormat="false" ht="15" hidden="false" customHeight="false" outlineLevel="0" collapsed="false"/>
    <row r="3379" customFormat="false" ht="15" hidden="false" customHeight="false" outlineLevel="0" collapsed="false"/>
    <row r="3380" customFormat="false" ht="15" hidden="false" customHeight="false" outlineLevel="0" collapsed="false"/>
    <row r="3381" customFormat="false" ht="15" hidden="false" customHeight="false" outlineLevel="0" collapsed="false"/>
    <row r="3382" customFormat="false" ht="15" hidden="false" customHeight="false" outlineLevel="0" collapsed="false"/>
    <row r="3383" customFormat="false" ht="15" hidden="false" customHeight="false" outlineLevel="0" collapsed="false"/>
    <row r="3384" customFormat="false" ht="15" hidden="false" customHeight="false" outlineLevel="0" collapsed="false"/>
    <row r="3385" customFormat="false" ht="15" hidden="false" customHeight="false" outlineLevel="0" collapsed="false"/>
    <row r="3386" customFormat="false" ht="15" hidden="false" customHeight="false" outlineLevel="0" collapsed="false"/>
    <row r="3387" customFormat="false" ht="15" hidden="false" customHeight="false" outlineLevel="0" collapsed="false"/>
    <row r="3388" customFormat="false" ht="15" hidden="false" customHeight="false" outlineLevel="0" collapsed="false"/>
    <row r="3389" customFormat="false" ht="15" hidden="false" customHeight="false" outlineLevel="0" collapsed="false"/>
    <row r="3390" customFormat="false" ht="15" hidden="false" customHeight="false" outlineLevel="0" collapsed="false"/>
    <row r="3391" customFormat="false" ht="15" hidden="false" customHeight="false" outlineLevel="0" collapsed="false"/>
    <row r="3392" customFormat="false" ht="15" hidden="false" customHeight="false" outlineLevel="0" collapsed="false"/>
    <row r="3393" customFormat="false" ht="15" hidden="false" customHeight="false" outlineLevel="0" collapsed="false"/>
    <row r="3394" customFormat="false" ht="15" hidden="false" customHeight="false" outlineLevel="0" collapsed="false"/>
    <row r="3395" customFormat="false" ht="15" hidden="false" customHeight="false" outlineLevel="0" collapsed="false"/>
    <row r="3396" customFormat="false" ht="15" hidden="false" customHeight="false" outlineLevel="0" collapsed="false"/>
    <row r="3397" customFormat="false" ht="15" hidden="false" customHeight="false" outlineLevel="0" collapsed="false"/>
    <row r="3398" customFormat="false" ht="15" hidden="false" customHeight="false" outlineLevel="0" collapsed="false"/>
    <row r="3399" customFormat="false" ht="15" hidden="false" customHeight="false" outlineLevel="0" collapsed="false"/>
    <row r="3400" customFormat="false" ht="15" hidden="false" customHeight="false" outlineLevel="0" collapsed="false"/>
    <row r="3401" customFormat="false" ht="15" hidden="false" customHeight="false" outlineLevel="0" collapsed="false"/>
    <row r="3402" customFormat="false" ht="15" hidden="false" customHeight="false" outlineLevel="0" collapsed="false"/>
    <row r="3403" customFormat="false" ht="15" hidden="false" customHeight="false" outlineLevel="0" collapsed="false"/>
    <row r="3404" customFormat="false" ht="15" hidden="false" customHeight="false" outlineLevel="0" collapsed="false"/>
    <row r="3405" customFormat="false" ht="15" hidden="false" customHeight="false" outlineLevel="0" collapsed="false"/>
    <row r="3406" customFormat="false" ht="15" hidden="false" customHeight="false" outlineLevel="0" collapsed="false"/>
    <row r="3407" customFormat="false" ht="15" hidden="false" customHeight="false" outlineLevel="0" collapsed="false"/>
    <row r="3408" customFormat="false" ht="15" hidden="false" customHeight="false" outlineLevel="0" collapsed="false"/>
    <row r="3409" customFormat="false" ht="15" hidden="false" customHeight="false" outlineLevel="0" collapsed="false"/>
    <row r="3410" customFormat="false" ht="15" hidden="false" customHeight="false" outlineLevel="0" collapsed="false"/>
    <row r="3411" customFormat="false" ht="15" hidden="false" customHeight="false" outlineLevel="0" collapsed="false"/>
    <row r="3412" customFormat="false" ht="15" hidden="false" customHeight="false" outlineLevel="0" collapsed="false"/>
    <row r="3413" customFormat="false" ht="15" hidden="false" customHeight="false" outlineLevel="0" collapsed="false"/>
    <row r="3414" customFormat="false" ht="15" hidden="false" customHeight="false" outlineLevel="0" collapsed="false"/>
    <row r="3415" customFormat="false" ht="15" hidden="false" customHeight="false" outlineLevel="0" collapsed="false"/>
    <row r="3416" customFormat="false" ht="15" hidden="false" customHeight="false" outlineLevel="0" collapsed="false"/>
    <row r="3417" customFormat="false" ht="15" hidden="false" customHeight="false" outlineLevel="0" collapsed="false"/>
    <row r="3418" customFormat="false" ht="15" hidden="false" customHeight="false" outlineLevel="0" collapsed="false"/>
    <row r="3419" customFormat="false" ht="15" hidden="false" customHeight="false" outlineLevel="0" collapsed="false"/>
    <row r="3420" customFormat="false" ht="15" hidden="false" customHeight="false" outlineLevel="0" collapsed="false"/>
    <row r="3421" customFormat="false" ht="15" hidden="false" customHeight="false" outlineLevel="0" collapsed="false"/>
    <row r="3422" customFormat="false" ht="15" hidden="false" customHeight="false" outlineLevel="0" collapsed="false"/>
    <row r="3423" customFormat="false" ht="15" hidden="false" customHeight="false" outlineLevel="0" collapsed="false"/>
    <row r="3424" customFormat="false" ht="15" hidden="false" customHeight="false" outlineLevel="0" collapsed="false"/>
    <row r="3425" customFormat="false" ht="15" hidden="false" customHeight="false" outlineLevel="0" collapsed="false"/>
    <row r="3426" customFormat="false" ht="15" hidden="false" customHeight="false" outlineLevel="0" collapsed="false"/>
    <row r="3427" customFormat="false" ht="15" hidden="false" customHeight="false" outlineLevel="0" collapsed="false"/>
    <row r="3428" customFormat="false" ht="15" hidden="false" customHeight="false" outlineLevel="0" collapsed="false"/>
    <row r="3429" customFormat="false" ht="15" hidden="false" customHeight="false" outlineLevel="0" collapsed="false"/>
    <row r="3430" customFormat="false" ht="15" hidden="false" customHeight="false" outlineLevel="0" collapsed="false"/>
    <row r="3431" customFormat="false" ht="15" hidden="false" customHeight="false" outlineLevel="0" collapsed="false"/>
    <row r="3432" customFormat="false" ht="15" hidden="false" customHeight="false" outlineLevel="0" collapsed="false"/>
    <row r="3433" customFormat="false" ht="15" hidden="false" customHeight="false" outlineLevel="0" collapsed="false"/>
    <row r="3434" customFormat="false" ht="15" hidden="false" customHeight="false" outlineLevel="0" collapsed="false"/>
    <row r="3435" customFormat="false" ht="15" hidden="false" customHeight="false" outlineLevel="0" collapsed="false"/>
    <row r="3436" customFormat="false" ht="15" hidden="false" customHeight="false" outlineLevel="0" collapsed="false"/>
    <row r="3437" customFormat="false" ht="15" hidden="false" customHeight="false" outlineLevel="0" collapsed="false"/>
    <row r="3438" customFormat="false" ht="15" hidden="false" customHeight="false" outlineLevel="0" collapsed="false"/>
    <row r="3439" customFormat="false" ht="15" hidden="false" customHeight="false" outlineLevel="0" collapsed="false"/>
    <row r="3440" customFormat="false" ht="15" hidden="false" customHeight="false" outlineLevel="0" collapsed="false"/>
    <row r="3441" customFormat="false" ht="15" hidden="false" customHeight="false" outlineLevel="0" collapsed="false"/>
    <row r="3442" customFormat="false" ht="15" hidden="false" customHeight="false" outlineLevel="0" collapsed="false"/>
    <row r="3443" customFormat="false" ht="15" hidden="false" customHeight="false" outlineLevel="0" collapsed="false"/>
    <row r="3444" customFormat="false" ht="15" hidden="false" customHeight="false" outlineLevel="0" collapsed="false"/>
    <row r="3445" customFormat="false" ht="15" hidden="false" customHeight="false" outlineLevel="0" collapsed="false"/>
    <row r="3446" customFormat="false" ht="15" hidden="false" customHeight="false" outlineLevel="0" collapsed="false"/>
    <row r="3447" customFormat="false" ht="15" hidden="false" customHeight="false" outlineLevel="0" collapsed="false"/>
    <row r="3448" customFormat="false" ht="15" hidden="false" customHeight="false" outlineLevel="0" collapsed="false"/>
    <row r="3449" customFormat="false" ht="15" hidden="false" customHeight="false" outlineLevel="0" collapsed="false"/>
    <row r="3450" customFormat="false" ht="15" hidden="false" customHeight="false" outlineLevel="0" collapsed="false"/>
    <row r="3451" customFormat="false" ht="15" hidden="false" customHeight="false" outlineLevel="0" collapsed="false"/>
    <row r="3452" customFormat="false" ht="15" hidden="false" customHeight="false" outlineLevel="0" collapsed="false"/>
    <row r="3453" customFormat="false" ht="15" hidden="false" customHeight="false" outlineLevel="0" collapsed="false"/>
    <row r="3454" customFormat="false" ht="15" hidden="false" customHeight="false" outlineLevel="0" collapsed="false"/>
    <row r="3455" customFormat="false" ht="15" hidden="false" customHeight="false" outlineLevel="0" collapsed="false"/>
    <row r="3456" customFormat="false" ht="15" hidden="false" customHeight="false" outlineLevel="0" collapsed="false"/>
    <row r="3457" customFormat="false" ht="15" hidden="false" customHeight="false" outlineLevel="0" collapsed="false"/>
    <row r="3458" customFormat="false" ht="15" hidden="false" customHeight="false" outlineLevel="0" collapsed="false"/>
    <row r="3459" customFormat="false" ht="15" hidden="false" customHeight="false" outlineLevel="0" collapsed="false"/>
    <row r="3460" customFormat="false" ht="15" hidden="false" customHeight="false" outlineLevel="0" collapsed="false"/>
    <row r="3461" customFormat="false" ht="15" hidden="false" customHeight="false" outlineLevel="0" collapsed="false"/>
    <row r="3462" customFormat="false" ht="15" hidden="false" customHeight="false" outlineLevel="0" collapsed="false"/>
    <row r="3463" customFormat="false" ht="15" hidden="false" customHeight="false" outlineLevel="0" collapsed="false"/>
    <row r="3464" customFormat="false" ht="15" hidden="false" customHeight="false" outlineLevel="0" collapsed="false"/>
    <row r="3465" customFormat="false" ht="15" hidden="false" customHeight="false" outlineLevel="0" collapsed="false"/>
    <row r="3466" customFormat="false" ht="15" hidden="false" customHeight="false" outlineLevel="0" collapsed="false"/>
    <row r="3467" customFormat="false" ht="15" hidden="false" customHeight="false" outlineLevel="0" collapsed="false"/>
    <row r="3468" customFormat="false" ht="15" hidden="false" customHeight="false" outlineLevel="0" collapsed="false"/>
    <row r="3469" customFormat="false" ht="15" hidden="false" customHeight="false" outlineLevel="0" collapsed="false"/>
    <row r="3470" customFormat="false" ht="15" hidden="false" customHeight="false" outlineLevel="0" collapsed="false"/>
    <row r="3471" customFormat="false" ht="15" hidden="false" customHeight="false" outlineLevel="0" collapsed="false"/>
    <row r="3472" customFormat="false" ht="15" hidden="false" customHeight="false" outlineLevel="0" collapsed="false"/>
    <row r="3473" customFormat="false" ht="15" hidden="false" customHeight="false" outlineLevel="0" collapsed="false"/>
    <row r="3474" customFormat="false" ht="15" hidden="false" customHeight="false" outlineLevel="0" collapsed="false"/>
    <row r="3475" customFormat="false" ht="15" hidden="false" customHeight="false" outlineLevel="0" collapsed="false"/>
    <row r="3476" customFormat="false" ht="15" hidden="false" customHeight="false" outlineLevel="0" collapsed="false"/>
    <row r="3477" customFormat="false" ht="15" hidden="false" customHeight="false" outlineLevel="0" collapsed="false"/>
    <row r="3478" customFormat="false" ht="15" hidden="false" customHeight="false" outlineLevel="0" collapsed="false"/>
    <row r="3479" customFormat="false" ht="15" hidden="false" customHeight="false" outlineLevel="0" collapsed="false"/>
    <row r="3480" customFormat="false" ht="15" hidden="false" customHeight="false" outlineLevel="0" collapsed="false"/>
    <row r="3481" customFormat="false" ht="15" hidden="false" customHeight="false" outlineLevel="0" collapsed="false"/>
    <row r="3482" customFormat="false" ht="15" hidden="false" customHeight="false" outlineLevel="0" collapsed="false"/>
    <row r="3483" customFormat="false" ht="15" hidden="false" customHeight="false" outlineLevel="0" collapsed="false"/>
    <row r="3484" customFormat="false" ht="15" hidden="false" customHeight="false" outlineLevel="0" collapsed="false"/>
    <row r="3485" customFormat="false" ht="15" hidden="false" customHeight="false" outlineLevel="0" collapsed="false"/>
    <row r="3486" customFormat="false" ht="15" hidden="false" customHeight="false" outlineLevel="0" collapsed="false"/>
    <row r="3487" customFormat="false" ht="15" hidden="false" customHeight="false" outlineLevel="0" collapsed="false"/>
    <row r="3488" customFormat="false" ht="15" hidden="false" customHeight="false" outlineLevel="0" collapsed="false"/>
    <row r="3489" customFormat="false" ht="15" hidden="false" customHeight="false" outlineLevel="0" collapsed="false"/>
    <row r="3490" customFormat="false" ht="15" hidden="false" customHeight="false" outlineLevel="0" collapsed="false"/>
    <row r="3491" customFormat="false" ht="15" hidden="false" customHeight="false" outlineLevel="0" collapsed="false"/>
    <row r="3492" customFormat="false" ht="15" hidden="false" customHeight="false" outlineLevel="0" collapsed="false"/>
    <row r="3493" customFormat="false" ht="15" hidden="false" customHeight="false" outlineLevel="0" collapsed="false"/>
    <row r="3494" customFormat="false" ht="15" hidden="false" customHeight="false" outlineLevel="0" collapsed="false"/>
    <row r="3495" customFormat="false" ht="15" hidden="false" customHeight="false" outlineLevel="0" collapsed="false"/>
    <row r="3496" customFormat="false" ht="15" hidden="false" customHeight="false" outlineLevel="0" collapsed="false"/>
    <row r="3497" customFormat="false" ht="15" hidden="false" customHeight="false" outlineLevel="0" collapsed="false"/>
    <row r="3498" customFormat="false" ht="15" hidden="false" customHeight="false" outlineLevel="0" collapsed="false"/>
    <row r="3499" customFormat="false" ht="15" hidden="false" customHeight="false" outlineLevel="0" collapsed="false"/>
    <row r="3500" customFormat="false" ht="15" hidden="false" customHeight="false" outlineLevel="0" collapsed="false"/>
    <row r="3501" customFormat="false" ht="15" hidden="false" customHeight="false" outlineLevel="0" collapsed="false"/>
    <row r="3502" customFormat="false" ht="15" hidden="false" customHeight="false" outlineLevel="0" collapsed="false"/>
    <row r="3503" customFormat="false" ht="15" hidden="false" customHeight="false" outlineLevel="0" collapsed="false"/>
    <row r="3504" customFormat="false" ht="15" hidden="false" customHeight="false" outlineLevel="0" collapsed="false"/>
    <row r="3505" customFormat="false" ht="15" hidden="false" customHeight="false" outlineLevel="0" collapsed="false"/>
    <row r="3506" customFormat="false" ht="15" hidden="false" customHeight="false" outlineLevel="0" collapsed="false"/>
    <row r="3507" customFormat="false" ht="15" hidden="false" customHeight="false" outlineLevel="0" collapsed="false"/>
    <row r="3508" customFormat="false" ht="15" hidden="false" customHeight="false" outlineLevel="0" collapsed="false"/>
    <row r="3509" customFormat="false" ht="15" hidden="false" customHeight="false" outlineLevel="0" collapsed="false"/>
    <row r="3510" customFormat="false" ht="15" hidden="false" customHeight="false" outlineLevel="0" collapsed="false"/>
    <row r="3511" customFormat="false" ht="15" hidden="false" customHeight="false" outlineLevel="0" collapsed="false"/>
    <row r="3512" customFormat="false" ht="15" hidden="false" customHeight="false" outlineLevel="0" collapsed="false"/>
    <row r="3513" customFormat="false" ht="15" hidden="false" customHeight="false" outlineLevel="0" collapsed="false"/>
    <row r="3514" customFormat="false" ht="15" hidden="false" customHeight="false" outlineLevel="0" collapsed="false"/>
    <row r="3515" customFormat="false" ht="15" hidden="false" customHeight="false" outlineLevel="0" collapsed="false"/>
    <row r="3516" customFormat="false" ht="15" hidden="false" customHeight="false" outlineLevel="0" collapsed="false"/>
    <row r="3517" customFormat="false" ht="15" hidden="false" customHeight="false" outlineLevel="0" collapsed="false"/>
    <row r="3518" customFormat="false" ht="15" hidden="false" customHeight="false" outlineLevel="0" collapsed="false"/>
    <row r="3519" customFormat="false" ht="15" hidden="false" customHeight="false" outlineLevel="0" collapsed="false"/>
    <row r="3520" customFormat="false" ht="15" hidden="false" customHeight="false" outlineLevel="0" collapsed="false"/>
    <row r="3521" customFormat="false" ht="15" hidden="false" customHeight="false" outlineLevel="0" collapsed="false"/>
    <row r="3522" customFormat="false" ht="15" hidden="false" customHeight="false" outlineLevel="0" collapsed="false"/>
    <row r="3523" customFormat="false" ht="15" hidden="false" customHeight="false" outlineLevel="0" collapsed="false"/>
    <row r="3524" customFormat="false" ht="15" hidden="false" customHeight="false" outlineLevel="0" collapsed="false"/>
    <row r="3525" customFormat="false" ht="15" hidden="false" customHeight="false" outlineLevel="0" collapsed="false"/>
    <row r="3526" customFormat="false" ht="15" hidden="false" customHeight="false" outlineLevel="0" collapsed="false"/>
    <row r="3527" customFormat="false" ht="15" hidden="false" customHeight="false" outlineLevel="0" collapsed="false"/>
    <row r="3528" customFormat="false" ht="15" hidden="false" customHeight="false" outlineLevel="0" collapsed="false"/>
    <row r="3529" customFormat="false" ht="15" hidden="false" customHeight="false" outlineLevel="0" collapsed="false"/>
    <row r="3530" customFormat="false" ht="15" hidden="false" customHeight="false" outlineLevel="0" collapsed="false"/>
    <row r="3531" customFormat="false" ht="15" hidden="false" customHeight="false" outlineLevel="0" collapsed="false"/>
    <row r="3532" customFormat="false" ht="15" hidden="false" customHeight="false" outlineLevel="0" collapsed="false"/>
    <row r="3533" customFormat="false" ht="15" hidden="false" customHeight="false" outlineLevel="0" collapsed="false"/>
    <row r="3534" customFormat="false" ht="15" hidden="false" customHeight="false" outlineLevel="0" collapsed="false"/>
    <row r="3535" customFormat="false" ht="15" hidden="false" customHeight="false" outlineLevel="0" collapsed="false"/>
    <row r="3536" customFormat="false" ht="15" hidden="false" customHeight="false" outlineLevel="0" collapsed="false"/>
    <row r="3537" customFormat="false" ht="15" hidden="false" customHeight="false" outlineLevel="0" collapsed="false"/>
    <row r="3538" customFormat="false" ht="15" hidden="false" customHeight="false" outlineLevel="0" collapsed="false"/>
    <row r="3539" customFormat="false" ht="15" hidden="false" customHeight="false" outlineLevel="0" collapsed="false"/>
    <row r="3540" customFormat="false" ht="15" hidden="false" customHeight="false" outlineLevel="0" collapsed="false"/>
    <row r="3541" customFormat="false" ht="15" hidden="false" customHeight="false" outlineLevel="0" collapsed="false"/>
    <row r="3542" customFormat="false" ht="15" hidden="false" customHeight="false" outlineLevel="0" collapsed="false"/>
    <row r="3543" customFormat="false" ht="15" hidden="false" customHeight="false" outlineLevel="0" collapsed="false"/>
    <row r="3544" customFormat="false" ht="15" hidden="false" customHeight="false" outlineLevel="0" collapsed="false"/>
    <row r="3545" customFormat="false" ht="15" hidden="false" customHeight="false" outlineLevel="0" collapsed="false"/>
    <row r="3546" customFormat="false" ht="15" hidden="false" customHeight="false" outlineLevel="0" collapsed="false"/>
    <row r="3547" customFormat="false" ht="15" hidden="false" customHeight="false" outlineLevel="0" collapsed="false"/>
    <row r="3548" customFormat="false" ht="15" hidden="false" customHeight="false" outlineLevel="0" collapsed="false"/>
    <row r="3549" customFormat="false" ht="15" hidden="false" customHeight="false" outlineLevel="0" collapsed="false"/>
    <row r="3550" customFormat="false" ht="15" hidden="false" customHeight="false" outlineLevel="0" collapsed="false"/>
    <row r="3551" customFormat="false" ht="15" hidden="false" customHeight="false" outlineLevel="0" collapsed="false"/>
    <row r="3552" customFormat="false" ht="15" hidden="false" customHeight="false" outlineLevel="0" collapsed="false"/>
    <row r="3553" customFormat="false" ht="15" hidden="false" customHeight="false" outlineLevel="0" collapsed="false"/>
    <row r="3554" customFormat="false" ht="15" hidden="false" customHeight="false" outlineLevel="0" collapsed="false"/>
    <row r="3555" customFormat="false" ht="15" hidden="false" customHeight="false" outlineLevel="0" collapsed="false"/>
    <row r="3556" customFormat="false" ht="15" hidden="false" customHeight="false" outlineLevel="0" collapsed="false"/>
    <row r="3557" customFormat="false" ht="15" hidden="false" customHeight="false" outlineLevel="0" collapsed="false"/>
    <row r="3558" customFormat="false" ht="15" hidden="false" customHeight="false" outlineLevel="0" collapsed="false"/>
    <row r="3559" customFormat="false" ht="15" hidden="false" customHeight="false" outlineLevel="0" collapsed="false"/>
    <row r="3560" customFormat="false" ht="15" hidden="false" customHeight="false" outlineLevel="0" collapsed="false"/>
    <row r="3561" customFormat="false" ht="15" hidden="false" customHeight="false" outlineLevel="0" collapsed="false"/>
    <row r="3562" customFormat="false" ht="15" hidden="false" customHeight="false" outlineLevel="0" collapsed="false"/>
    <row r="3563" customFormat="false" ht="15" hidden="false" customHeight="false" outlineLevel="0" collapsed="false"/>
    <row r="3564" customFormat="false" ht="15" hidden="false" customHeight="false" outlineLevel="0" collapsed="false"/>
    <row r="3565" customFormat="false" ht="15" hidden="false" customHeight="false" outlineLevel="0" collapsed="false"/>
    <row r="3566" customFormat="false" ht="15" hidden="false" customHeight="false" outlineLevel="0" collapsed="false"/>
    <row r="3567" customFormat="false" ht="15" hidden="false" customHeight="false" outlineLevel="0" collapsed="false"/>
    <row r="3568" customFormat="false" ht="15" hidden="false" customHeight="false" outlineLevel="0" collapsed="false"/>
    <row r="3569" customFormat="false" ht="15" hidden="false" customHeight="false" outlineLevel="0" collapsed="false"/>
    <row r="3570" customFormat="false" ht="15" hidden="false" customHeight="false" outlineLevel="0" collapsed="false"/>
    <row r="3571" customFormat="false" ht="15" hidden="false" customHeight="false" outlineLevel="0" collapsed="false"/>
    <row r="3572" customFormat="false" ht="15" hidden="false" customHeight="false" outlineLevel="0" collapsed="false"/>
    <row r="3573" customFormat="false" ht="15" hidden="false" customHeight="false" outlineLevel="0" collapsed="false"/>
    <row r="3574" customFormat="false" ht="15" hidden="false" customHeight="false" outlineLevel="0" collapsed="false"/>
    <row r="3575" customFormat="false" ht="15" hidden="false" customHeight="false" outlineLevel="0" collapsed="false"/>
    <row r="3576" customFormat="false" ht="15" hidden="false" customHeight="false" outlineLevel="0" collapsed="false"/>
    <row r="3577" customFormat="false" ht="15" hidden="false" customHeight="false" outlineLevel="0" collapsed="false"/>
    <row r="3578" customFormat="false" ht="15" hidden="false" customHeight="false" outlineLevel="0" collapsed="false"/>
    <row r="3579" customFormat="false" ht="15" hidden="false" customHeight="false" outlineLevel="0" collapsed="false"/>
    <row r="3580" customFormat="false" ht="15" hidden="false" customHeight="false" outlineLevel="0" collapsed="false"/>
    <row r="3581" customFormat="false" ht="15" hidden="false" customHeight="false" outlineLevel="0" collapsed="false"/>
    <row r="3582" customFormat="false" ht="15" hidden="false" customHeight="false" outlineLevel="0" collapsed="false"/>
    <row r="3583" customFormat="false" ht="15" hidden="false" customHeight="false" outlineLevel="0" collapsed="false"/>
    <row r="3584" customFormat="false" ht="15" hidden="false" customHeight="false" outlineLevel="0" collapsed="false"/>
    <row r="3585" customFormat="false" ht="15" hidden="false" customHeight="false" outlineLevel="0" collapsed="false"/>
    <row r="3586" customFormat="false" ht="15" hidden="false" customHeight="false" outlineLevel="0" collapsed="false"/>
    <row r="3587" customFormat="false" ht="15" hidden="false" customHeight="false" outlineLevel="0" collapsed="false"/>
    <row r="3588" customFormat="false" ht="15" hidden="false" customHeight="false" outlineLevel="0" collapsed="false"/>
    <row r="3589" customFormat="false" ht="15" hidden="false" customHeight="false" outlineLevel="0" collapsed="false"/>
    <row r="3590" customFormat="false" ht="15" hidden="false" customHeight="false" outlineLevel="0" collapsed="false"/>
    <row r="3591" customFormat="false" ht="15" hidden="false" customHeight="false" outlineLevel="0" collapsed="false"/>
    <row r="3592" customFormat="false" ht="15" hidden="false" customHeight="false" outlineLevel="0" collapsed="false"/>
    <row r="3593" customFormat="false" ht="15" hidden="false" customHeight="false" outlineLevel="0" collapsed="false"/>
    <row r="3594" customFormat="false" ht="15" hidden="false" customHeight="false" outlineLevel="0" collapsed="false"/>
    <row r="3595" customFormat="false" ht="15" hidden="false" customHeight="false" outlineLevel="0" collapsed="false"/>
    <row r="3596" customFormat="false" ht="15" hidden="false" customHeight="false" outlineLevel="0" collapsed="false"/>
    <row r="3597" customFormat="false" ht="15" hidden="false" customHeight="false" outlineLevel="0" collapsed="false"/>
    <row r="3598" customFormat="false" ht="15" hidden="false" customHeight="false" outlineLevel="0" collapsed="false"/>
    <row r="3599" customFormat="false" ht="15" hidden="false" customHeight="false" outlineLevel="0" collapsed="false"/>
    <row r="3600" customFormat="false" ht="15" hidden="false" customHeight="false" outlineLevel="0" collapsed="false"/>
    <row r="3601" customFormat="false" ht="15" hidden="false" customHeight="false" outlineLevel="0" collapsed="false"/>
    <row r="3602" customFormat="false" ht="15" hidden="false" customHeight="false" outlineLevel="0" collapsed="false"/>
    <row r="3603" customFormat="false" ht="15" hidden="false" customHeight="false" outlineLevel="0" collapsed="false"/>
    <row r="3604" customFormat="false" ht="15" hidden="false" customHeight="false" outlineLevel="0" collapsed="false"/>
    <row r="3605" customFormat="false" ht="15" hidden="false" customHeight="false" outlineLevel="0" collapsed="false"/>
    <row r="3606" customFormat="false" ht="15" hidden="false" customHeight="false" outlineLevel="0" collapsed="false"/>
    <row r="3607" customFormat="false" ht="15" hidden="false" customHeight="false" outlineLevel="0" collapsed="false"/>
    <row r="3608" customFormat="false" ht="15" hidden="false" customHeight="false" outlineLevel="0" collapsed="false"/>
    <row r="3609" customFormat="false" ht="15" hidden="false" customHeight="false" outlineLevel="0" collapsed="false"/>
    <row r="3610" customFormat="false" ht="15" hidden="false" customHeight="false" outlineLevel="0" collapsed="false"/>
    <row r="3611" customFormat="false" ht="15" hidden="false" customHeight="false" outlineLevel="0" collapsed="false"/>
    <row r="3612" customFormat="false" ht="15" hidden="false" customHeight="false" outlineLevel="0" collapsed="false"/>
    <row r="3613" customFormat="false" ht="15" hidden="false" customHeight="false" outlineLevel="0" collapsed="false"/>
    <row r="3614" customFormat="false" ht="15" hidden="false" customHeight="false" outlineLevel="0" collapsed="false"/>
    <row r="3615" customFormat="false" ht="15" hidden="false" customHeight="false" outlineLevel="0" collapsed="false"/>
    <row r="3616" customFormat="false" ht="15" hidden="false" customHeight="false" outlineLevel="0" collapsed="false"/>
    <row r="3617" customFormat="false" ht="15" hidden="false" customHeight="false" outlineLevel="0" collapsed="false"/>
    <row r="3618" customFormat="false" ht="15" hidden="false" customHeight="false" outlineLevel="0" collapsed="false"/>
    <row r="3619" customFormat="false" ht="15" hidden="false" customHeight="false" outlineLevel="0" collapsed="false"/>
    <row r="3620" customFormat="false" ht="15" hidden="false" customHeight="false" outlineLevel="0" collapsed="false"/>
    <row r="3621" customFormat="false" ht="15" hidden="false" customHeight="false" outlineLevel="0" collapsed="false"/>
    <row r="3622" customFormat="false" ht="15" hidden="false" customHeight="false" outlineLevel="0" collapsed="false"/>
    <row r="3623" customFormat="false" ht="15" hidden="false" customHeight="false" outlineLevel="0" collapsed="false"/>
    <row r="3624" customFormat="false" ht="15" hidden="false" customHeight="false" outlineLevel="0" collapsed="false"/>
    <row r="3625" customFormat="false" ht="15" hidden="false" customHeight="false" outlineLevel="0" collapsed="false"/>
    <row r="3626" customFormat="false" ht="15" hidden="false" customHeight="false" outlineLevel="0" collapsed="false"/>
    <row r="3627" customFormat="false" ht="15" hidden="false" customHeight="false" outlineLevel="0" collapsed="false"/>
    <row r="3628" customFormat="false" ht="15" hidden="false" customHeight="false" outlineLevel="0" collapsed="false"/>
    <row r="3629" customFormat="false" ht="15" hidden="false" customHeight="false" outlineLevel="0" collapsed="false"/>
    <row r="3630" customFormat="false" ht="15" hidden="false" customHeight="false" outlineLevel="0" collapsed="false"/>
    <row r="3631" customFormat="false" ht="15" hidden="false" customHeight="false" outlineLevel="0" collapsed="false"/>
    <row r="3632" customFormat="false" ht="15" hidden="false" customHeight="false" outlineLevel="0" collapsed="false"/>
    <row r="3633" customFormat="false" ht="15" hidden="false" customHeight="false" outlineLevel="0" collapsed="false"/>
    <row r="3634" customFormat="false" ht="15" hidden="false" customHeight="false" outlineLevel="0" collapsed="false"/>
    <row r="3635" customFormat="false" ht="15" hidden="false" customHeight="false" outlineLevel="0" collapsed="false"/>
    <row r="3636" customFormat="false" ht="15" hidden="false" customHeight="false" outlineLevel="0" collapsed="false"/>
    <row r="3637" customFormat="false" ht="15" hidden="false" customHeight="false" outlineLevel="0" collapsed="false"/>
    <row r="3638" customFormat="false" ht="15" hidden="false" customHeight="false" outlineLevel="0" collapsed="false"/>
    <row r="3639" customFormat="false" ht="15" hidden="false" customHeight="false" outlineLevel="0" collapsed="false"/>
    <row r="3640" customFormat="false" ht="15" hidden="false" customHeight="false" outlineLevel="0" collapsed="false"/>
    <row r="3641" customFormat="false" ht="15" hidden="false" customHeight="false" outlineLevel="0" collapsed="false"/>
    <row r="3642" customFormat="false" ht="15" hidden="false" customHeight="false" outlineLevel="0" collapsed="false"/>
    <row r="3643" customFormat="false" ht="15" hidden="false" customHeight="false" outlineLevel="0" collapsed="false"/>
    <row r="3644" customFormat="false" ht="15" hidden="false" customHeight="false" outlineLevel="0" collapsed="false"/>
    <row r="3645" customFormat="false" ht="15" hidden="false" customHeight="false" outlineLevel="0" collapsed="false"/>
    <row r="3646" customFormat="false" ht="15" hidden="false" customHeight="false" outlineLevel="0" collapsed="false"/>
    <row r="3647" customFormat="false" ht="15" hidden="false" customHeight="false" outlineLevel="0" collapsed="false"/>
    <row r="3648" customFormat="false" ht="15" hidden="false" customHeight="false" outlineLevel="0" collapsed="false"/>
    <row r="3649" customFormat="false" ht="15" hidden="false" customHeight="false" outlineLevel="0" collapsed="false"/>
    <row r="3650" customFormat="false" ht="15" hidden="false" customHeight="false" outlineLevel="0" collapsed="false"/>
    <row r="3651" customFormat="false" ht="15" hidden="false" customHeight="false" outlineLevel="0" collapsed="false"/>
    <row r="3652" customFormat="false" ht="15" hidden="false" customHeight="false" outlineLevel="0" collapsed="false"/>
    <row r="3653" customFormat="false" ht="15" hidden="false" customHeight="false" outlineLevel="0" collapsed="false"/>
    <row r="3654" customFormat="false" ht="15" hidden="false" customHeight="false" outlineLevel="0" collapsed="false"/>
    <row r="3655" customFormat="false" ht="15" hidden="false" customHeight="false" outlineLevel="0" collapsed="false"/>
    <row r="3656" customFormat="false" ht="15" hidden="false" customHeight="false" outlineLevel="0" collapsed="false"/>
    <row r="3657" customFormat="false" ht="15" hidden="false" customHeight="false" outlineLevel="0" collapsed="false"/>
    <row r="3658" customFormat="false" ht="15" hidden="false" customHeight="false" outlineLevel="0" collapsed="false"/>
    <row r="3659" customFormat="false" ht="15" hidden="false" customHeight="false" outlineLevel="0" collapsed="false"/>
    <row r="3660" customFormat="false" ht="15" hidden="false" customHeight="false" outlineLevel="0" collapsed="false"/>
    <row r="3661" customFormat="false" ht="15" hidden="false" customHeight="false" outlineLevel="0" collapsed="false"/>
    <row r="3662" customFormat="false" ht="15" hidden="false" customHeight="false" outlineLevel="0" collapsed="false"/>
    <row r="3663" customFormat="false" ht="15" hidden="false" customHeight="false" outlineLevel="0" collapsed="false"/>
    <row r="3664" customFormat="false" ht="15" hidden="false" customHeight="false" outlineLevel="0" collapsed="false"/>
    <row r="3665" customFormat="false" ht="15" hidden="false" customHeight="false" outlineLevel="0" collapsed="false"/>
    <row r="3666" customFormat="false" ht="15" hidden="false" customHeight="false" outlineLevel="0" collapsed="false"/>
    <row r="3667" customFormat="false" ht="15" hidden="false" customHeight="false" outlineLevel="0" collapsed="false"/>
    <row r="3668" customFormat="false" ht="15" hidden="false" customHeight="false" outlineLevel="0" collapsed="false"/>
    <row r="3669" customFormat="false" ht="15" hidden="false" customHeight="false" outlineLevel="0" collapsed="false"/>
    <row r="3670" customFormat="false" ht="15" hidden="false" customHeight="false" outlineLevel="0" collapsed="false"/>
    <row r="3671" customFormat="false" ht="15" hidden="false" customHeight="false" outlineLevel="0" collapsed="false"/>
    <row r="3672" customFormat="false" ht="15" hidden="false" customHeight="false" outlineLevel="0" collapsed="false"/>
    <row r="3673" customFormat="false" ht="15" hidden="false" customHeight="false" outlineLevel="0" collapsed="false"/>
    <row r="3674" customFormat="false" ht="15" hidden="false" customHeight="false" outlineLevel="0" collapsed="false"/>
    <row r="3675" customFormat="false" ht="15" hidden="false" customHeight="false" outlineLevel="0" collapsed="false"/>
    <row r="3676" customFormat="false" ht="15" hidden="false" customHeight="false" outlineLevel="0" collapsed="false"/>
    <row r="3677" customFormat="false" ht="15" hidden="false" customHeight="false" outlineLevel="0" collapsed="false"/>
    <row r="3678" customFormat="false" ht="15" hidden="false" customHeight="false" outlineLevel="0" collapsed="false"/>
    <row r="3679" customFormat="false" ht="15" hidden="false" customHeight="false" outlineLevel="0" collapsed="false"/>
    <row r="3680" customFormat="false" ht="15" hidden="false" customHeight="false" outlineLevel="0" collapsed="false"/>
    <row r="3681" customFormat="false" ht="15" hidden="false" customHeight="false" outlineLevel="0" collapsed="false"/>
    <row r="3682" customFormat="false" ht="15" hidden="false" customHeight="false" outlineLevel="0" collapsed="false"/>
    <row r="3683" customFormat="false" ht="15" hidden="false" customHeight="false" outlineLevel="0" collapsed="false"/>
    <row r="3684" customFormat="false" ht="15" hidden="false" customHeight="false" outlineLevel="0" collapsed="false"/>
    <row r="3685" customFormat="false" ht="15" hidden="false" customHeight="false" outlineLevel="0" collapsed="false"/>
    <row r="3686" customFormat="false" ht="15" hidden="false" customHeight="false" outlineLevel="0" collapsed="false"/>
    <row r="3687" customFormat="false" ht="15" hidden="false" customHeight="false" outlineLevel="0" collapsed="false"/>
    <row r="3688" customFormat="false" ht="15" hidden="false" customHeight="false" outlineLevel="0" collapsed="false"/>
    <row r="3689" customFormat="false" ht="15" hidden="false" customHeight="false" outlineLevel="0" collapsed="false"/>
    <row r="3690" customFormat="false" ht="15" hidden="false" customHeight="false" outlineLevel="0" collapsed="false"/>
    <row r="3691" customFormat="false" ht="15" hidden="false" customHeight="false" outlineLevel="0" collapsed="false"/>
    <row r="3692" customFormat="false" ht="15" hidden="false" customHeight="false" outlineLevel="0" collapsed="false"/>
    <row r="3693" customFormat="false" ht="15" hidden="false" customHeight="false" outlineLevel="0" collapsed="false"/>
    <row r="3694" customFormat="false" ht="15" hidden="false" customHeight="false" outlineLevel="0" collapsed="false"/>
    <row r="3695" customFormat="false" ht="15" hidden="false" customHeight="false" outlineLevel="0" collapsed="false"/>
    <row r="3696" customFormat="false" ht="15" hidden="false" customHeight="false" outlineLevel="0" collapsed="false"/>
    <row r="3697" customFormat="false" ht="15" hidden="false" customHeight="false" outlineLevel="0" collapsed="false"/>
    <row r="3698" customFormat="false" ht="15" hidden="false" customHeight="false" outlineLevel="0" collapsed="false"/>
    <row r="3699" customFormat="false" ht="15" hidden="false" customHeight="false" outlineLevel="0" collapsed="false"/>
    <row r="3700" customFormat="false" ht="15" hidden="false" customHeight="false" outlineLevel="0" collapsed="false"/>
    <row r="3701" customFormat="false" ht="15" hidden="false" customHeight="false" outlineLevel="0" collapsed="false"/>
    <row r="3702" customFormat="false" ht="15" hidden="false" customHeight="false" outlineLevel="0" collapsed="false"/>
    <row r="3703" customFormat="false" ht="15" hidden="false" customHeight="false" outlineLevel="0" collapsed="false"/>
    <row r="3704" customFormat="false" ht="15" hidden="false" customHeight="false" outlineLevel="0" collapsed="false"/>
    <row r="3705" customFormat="false" ht="15" hidden="false" customHeight="false" outlineLevel="0" collapsed="false"/>
    <row r="3706" customFormat="false" ht="15" hidden="false" customHeight="false" outlineLevel="0" collapsed="false"/>
    <row r="3707" customFormat="false" ht="15" hidden="false" customHeight="false" outlineLevel="0" collapsed="false"/>
    <row r="3708" customFormat="false" ht="15" hidden="false" customHeight="false" outlineLevel="0" collapsed="false"/>
    <row r="3709" customFormat="false" ht="15" hidden="false" customHeight="false" outlineLevel="0" collapsed="false"/>
    <row r="3710" customFormat="false" ht="15" hidden="false" customHeight="false" outlineLevel="0" collapsed="false"/>
    <row r="3711" customFormat="false" ht="15" hidden="false" customHeight="false" outlineLevel="0" collapsed="false"/>
    <row r="3712" customFormat="false" ht="15" hidden="false" customHeight="false" outlineLevel="0" collapsed="false"/>
    <row r="3713" customFormat="false" ht="15" hidden="false" customHeight="false" outlineLevel="0" collapsed="false"/>
    <row r="3714" customFormat="false" ht="15" hidden="false" customHeight="false" outlineLevel="0" collapsed="false"/>
    <row r="3715" customFormat="false" ht="15" hidden="false" customHeight="false" outlineLevel="0" collapsed="false"/>
    <row r="3716" customFormat="false" ht="15" hidden="false" customHeight="false" outlineLevel="0" collapsed="false"/>
    <row r="3717" customFormat="false" ht="15" hidden="false" customHeight="false" outlineLevel="0" collapsed="false"/>
    <row r="3718" customFormat="false" ht="15" hidden="false" customHeight="false" outlineLevel="0" collapsed="false"/>
    <row r="3719" customFormat="false" ht="15" hidden="false" customHeight="false" outlineLevel="0" collapsed="false"/>
    <row r="3720" customFormat="false" ht="15" hidden="false" customHeight="false" outlineLevel="0" collapsed="false"/>
    <row r="3721" customFormat="false" ht="15" hidden="false" customHeight="false" outlineLevel="0" collapsed="false"/>
    <row r="3722" customFormat="false" ht="15" hidden="false" customHeight="false" outlineLevel="0" collapsed="false"/>
    <row r="3723" customFormat="false" ht="15" hidden="false" customHeight="false" outlineLevel="0" collapsed="false"/>
    <row r="3724" customFormat="false" ht="15" hidden="false" customHeight="false" outlineLevel="0" collapsed="false"/>
    <row r="3725" customFormat="false" ht="15" hidden="false" customHeight="false" outlineLevel="0" collapsed="false"/>
    <row r="3726" customFormat="false" ht="15" hidden="false" customHeight="false" outlineLevel="0" collapsed="false"/>
    <row r="3727" customFormat="false" ht="15" hidden="false" customHeight="false" outlineLevel="0" collapsed="false"/>
    <row r="3728" customFormat="false" ht="15" hidden="false" customHeight="false" outlineLevel="0" collapsed="false"/>
    <row r="3729" customFormat="false" ht="15" hidden="false" customHeight="false" outlineLevel="0" collapsed="false"/>
    <row r="3730" customFormat="false" ht="15" hidden="false" customHeight="false" outlineLevel="0" collapsed="false"/>
    <row r="3731" customFormat="false" ht="15" hidden="false" customHeight="false" outlineLevel="0" collapsed="false"/>
    <row r="3732" customFormat="false" ht="15" hidden="false" customHeight="false" outlineLevel="0" collapsed="false"/>
    <row r="3733" customFormat="false" ht="15" hidden="false" customHeight="false" outlineLevel="0" collapsed="false"/>
    <row r="3734" customFormat="false" ht="15" hidden="false" customHeight="false" outlineLevel="0" collapsed="false"/>
    <row r="3735" customFormat="false" ht="15" hidden="false" customHeight="false" outlineLevel="0" collapsed="false"/>
    <row r="3736" customFormat="false" ht="15" hidden="false" customHeight="false" outlineLevel="0" collapsed="false"/>
    <row r="3737" customFormat="false" ht="15" hidden="false" customHeight="false" outlineLevel="0" collapsed="false"/>
    <row r="3738" customFormat="false" ht="15" hidden="false" customHeight="false" outlineLevel="0" collapsed="false"/>
    <row r="3739" customFormat="false" ht="15" hidden="false" customHeight="false" outlineLevel="0" collapsed="false"/>
    <row r="3740" customFormat="false" ht="15" hidden="false" customHeight="false" outlineLevel="0" collapsed="false"/>
    <row r="3741" customFormat="false" ht="15" hidden="false" customHeight="false" outlineLevel="0" collapsed="false"/>
    <row r="3742" customFormat="false" ht="15" hidden="false" customHeight="false" outlineLevel="0" collapsed="false"/>
    <row r="3743" customFormat="false" ht="15" hidden="false" customHeight="false" outlineLevel="0" collapsed="false"/>
    <row r="3744" customFormat="false" ht="15" hidden="false" customHeight="false" outlineLevel="0" collapsed="false"/>
    <row r="3745" customFormat="false" ht="15" hidden="false" customHeight="false" outlineLevel="0" collapsed="false"/>
    <row r="3746" customFormat="false" ht="15" hidden="false" customHeight="false" outlineLevel="0" collapsed="false"/>
    <row r="3747" customFormat="false" ht="15" hidden="false" customHeight="false" outlineLevel="0" collapsed="false"/>
    <row r="3748" customFormat="false" ht="15" hidden="false" customHeight="false" outlineLevel="0" collapsed="false"/>
    <row r="3749" customFormat="false" ht="15" hidden="false" customHeight="false" outlineLevel="0" collapsed="false"/>
    <row r="3750" customFormat="false" ht="15" hidden="false" customHeight="false" outlineLevel="0" collapsed="false"/>
    <row r="3751" customFormat="false" ht="15" hidden="false" customHeight="false" outlineLevel="0" collapsed="false"/>
    <row r="3752" customFormat="false" ht="15" hidden="false" customHeight="false" outlineLevel="0" collapsed="false"/>
    <row r="3753" customFormat="false" ht="15" hidden="false" customHeight="false" outlineLevel="0" collapsed="false"/>
    <row r="3754" customFormat="false" ht="15" hidden="false" customHeight="false" outlineLevel="0" collapsed="false"/>
    <row r="3755" customFormat="false" ht="15" hidden="false" customHeight="false" outlineLevel="0" collapsed="false"/>
    <row r="3756" customFormat="false" ht="15" hidden="false" customHeight="false" outlineLevel="0" collapsed="false"/>
    <row r="3757" customFormat="false" ht="15" hidden="false" customHeight="false" outlineLevel="0" collapsed="false"/>
    <row r="3758" customFormat="false" ht="15" hidden="false" customHeight="false" outlineLevel="0" collapsed="false"/>
    <row r="3759" customFormat="false" ht="15" hidden="false" customHeight="false" outlineLevel="0" collapsed="false"/>
    <row r="3760" customFormat="false" ht="15" hidden="false" customHeight="false" outlineLevel="0" collapsed="false"/>
    <row r="3761" customFormat="false" ht="15" hidden="false" customHeight="false" outlineLevel="0" collapsed="false"/>
    <row r="3762" customFormat="false" ht="15" hidden="false" customHeight="false" outlineLevel="0" collapsed="false"/>
    <row r="3763" customFormat="false" ht="15" hidden="false" customHeight="false" outlineLevel="0" collapsed="false"/>
    <row r="3764" customFormat="false" ht="15" hidden="false" customHeight="false" outlineLevel="0" collapsed="false"/>
    <row r="3765" customFormat="false" ht="15" hidden="false" customHeight="false" outlineLevel="0" collapsed="false"/>
    <row r="3766" customFormat="false" ht="15" hidden="false" customHeight="false" outlineLevel="0" collapsed="false"/>
    <row r="3767" customFormat="false" ht="15" hidden="false" customHeight="false" outlineLevel="0" collapsed="false"/>
    <row r="3768" customFormat="false" ht="15" hidden="false" customHeight="false" outlineLevel="0" collapsed="false"/>
    <row r="3769" customFormat="false" ht="15" hidden="false" customHeight="false" outlineLevel="0" collapsed="false"/>
    <row r="3770" customFormat="false" ht="15" hidden="false" customHeight="false" outlineLevel="0" collapsed="false"/>
    <row r="3771" customFormat="false" ht="15" hidden="false" customHeight="false" outlineLevel="0" collapsed="false"/>
    <row r="3772" customFormat="false" ht="15" hidden="false" customHeight="false" outlineLevel="0" collapsed="false"/>
    <row r="3773" customFormat="false" ht="15" hidden="false" customHeight="false" outlineLevel="0" collapsed="false"/>
    <row r="3774" customFormat="false" ht="15" hidden="false" customHeight="false" outlineLevel="0" collapsed="false"/>
    <row r="3775" customFormat="false" ht="15" hidden="false" customHeight="false" outlineLevel="0" collapsed="false"/>
    <row r="3776" customFormat="false" ht="15" hidden="false" customHeight="false" outlineLevel="0" collapsed="false"/>
    <row r="3777" customFormat="false" ht="15" hidden="false" customHeight="false" outlineLevel="0" collapsed="false"/>
    <row r="3778" customFormat="false" ht="15" hidden="false" customHeight="false" outlineLevel="0" collapsed="false"/>
    <row r="3779" customFormat="false" ht="15" hidden="false" customHeight="false" outlineLevel="0" collapsed="false"/>
    <row r="3780" customFormat="false" ht="15" hidden="false" customHeight="false" outlineLevel="0" collapsed="false"/>
    <row r="3781" customFormat="false" ht="15" hidden="false" customHeight="false" outlineLevel="0" collapsed="false"/>
    <row r="3782" customFormat="false" ht="15" hidden="false" customHeight="false" outlineLevel="0" collapsed="false"/>
    <row r="3783" customFormat="false" ht="15" hidden="false" customHeight="false" outlineLevel="0" collapsed="false"/>
    <row r="3784" customFormat="false" ht="15" hidden="false" customHeight="false" outlineLevel="0" collapsed="false"/>
    <row r="3785" customFormat="false" ht="15" hidden="false" customHeight="false" outlineLevel="0" collapsed="false"/>
    <row r="3786" customFormat="false" ht="15" hidden="false" customHeight="false" outlineLevel="0" collapsed="false"/>
    <row r="3787" customFormat="false" ht="15" hidden="false" customHeight="false" outlineLevel="0" collapsed="false"/>
    <row r="3788" customFormat="false" ht="15" hidden="false" customHeight="false" outlineLevel="0" collapsed="false"/>
    <row r="3789" customFormat="false" ht="15" hidden="false" customHeight="false" outlineLevel="0" collapsed="false"/>
    <row r="3790" customFormat="false" ht="15" hidden="false" customHeight="false" outlineLevel="0" collapsed="false"/>
    <row r="3791" customFormat="false" ht="15" hidden="false" customHeight="false" outlineLevel="0" collapsed="false"/>
    <row r="3792" customFormat="false" ht="15" hidden="false" customHeight="false" outlineLevel="0" collapsed="false"/>
    <row r="3793" customFormat="false" ht="15" hidden="false" customHeight="false" outlineLevel="0" collapsed="false"/>
    <row r="3794" customFormat="false" ht="15" hidden="false" customHeight="false" outlineLevel="0" collapsed="false"/>
    <row r="3795" customFormat="false" ht="15" hidden="false" customHeight="false" outlineLevel="0" collapsed="false"/>
    <row r="3796" customFormat="false" ht="15" hidden="false" customHeight="false" outlineLevel="0" collapsed="false"/>
    <row r="3797" customFormat="false" ht="15" hidden="false" customHeight="false" outlineLevel="0" collapsed="false"/>
    <row r="3798" customFormat="false" ht="15" hidden="false" customHeight="false" outlineLevel="0" collapsed="false"/>
    <row r="3799" customFormat="false" ht="15" hidden="false" customHeight="false" outlineLevel="0" collapsed="false"/>
    <row r="3800" customFormat="false" ht="15" hidden="false" customHeight="false" outlineLevel="0" collapsed="false"/>
    <row r="3801" customFormat="false" ht="15" hidden="false" customHeight="false" outlineLevel="0" collapsed="false"/>
    <row r="3802" customFormat="false" ht="15" hidden="false" customHeight="false" outlineLevel="0" collapsed="false"/>
    <row r="3803" customFormat="false" ht="15" hidden="false" customHeight="false" outlineLevel="0" collapsed="false"/>
    <row r="3804" customFormat="false" ht="15" hidden="false" customHeight="false" outlineLevel="0" collapsed="false"/>
    <row r="3805" customFormat="false" ht="15" hidden="false" customHeight="false" outlineLevel="0" collapsed="false"/>
    <row r="3806" customFormat="false" ht="15" hidden="false" customHeight="false" outlineLevel="0" collapsed="false"/>
    <row r="3807" customFormat="false" ht="15" hidden="false" customHeight="false" outlineLevel="0" collapsed="false"/>
    <row r="3808" customFormat="false" ht="15" hidden="false" customHeight="false" outlineLevel="0" collapsed="false"/>
    <row r="3809" customFormat="false" ht="15" hidden="false" customHeight="false" outlineLevel="0" collapsed="false"/>
    <row r="3810" customFormat="false" ht="15" hidden="false" customHeight="false" outlineLevel="0" collapsed="false"/>
    <row r="3811" customFormat="false" ht="15" hidden="false" customHeight="false" outlineLevel="0" collapsed="false"/>
    <row r="3812" customFormat="false" ht="15" hidden="false" customHeight="false" outlineLevel="0" collapsed="false"/>
    <row r="3813" customFormat="false" ht="15" hidden="false" customHeight="false" outlineLevel="0" collapsed="false"/>
    <row r="3814" customFormat="false" ht="15" hidden="false" customHeight="false" outlineLevel="0" collapsed="false"/>
    <row r="3815" customFormat="false" ht="15" hidden="false" customHeight="false" outlineLevel="0" collapsed="false"/>
    <row r="3816" customFormat="false" ht="15" hidden="false" customHeight="false" outlineLevel="0" collapsed="false"/>
    <row r="3817" customFormat="false" ht="15" hidden="false" customHeight="false" outlineLevel="0" collapsed="false"/>
    <row r="3818" customFormat="false" ht="15" hidden="false" customHeight="false" outlineLevel="0" collapsed="false"/>
    <row r="3819" customFormat="false" ht="15" hidden="false" customHeight="false" outlineLevel="0" collapsed="false"/>
    <row r="3820" customFormat="false" ht="15" hidden="false" customHeight="false" outlineLevel="0" collapsed="false"/>
    <row r="3821" customFormat="false" ht="15" hidden="false" customHeight="false" outlineLevel="0" collapsed="false"/>
    <row r="3822" customFormat="false" ht="15" hidden="false" customHeight="false" outlineLevel="0" collapsed="false"/>
    <row r="3823" customFormat="false" ht="15" hidden="false" customHeight="false" outlineLevel="0" collapsed="false"/>
    <row r="3824" customFormat="false" ht="15" hidden="false" customHeight="false" outlineLevel="0" collapsed="false"/>
    <row r="3825" customFormat="false" ht="15" hidden="false" customHeight="false" outlineLevel="0" collapsed="false"/>
    <row r="3826" customFormat="false" ht="15" hidden="false" customHeight="false" outlineLevel="0" collapsed="false"/>
    <row r="3827" customFormat="false" ht="15" hidden="false" customHeight="false" outlineLevel="0" collapsed="false"/>
    <row r="3828" customFormat="false" ht="15" hidden="false" customHeight="false" outlineLevel="0" collapsed="false"/>
    <row r="3829" customFormat="false" ht="15" hidden="false" customHeight="false" outlineLevel="0" collapsed="false"/>
    <row r="3830" customFormat="false" ht="15" hidden="false" customHeight="false" outlineLevel="0" collapsed="false"/>
    <row r="3831" customFormat="false" ht="15" hidden="false" customHeight="false" outlineLevel="0" collapsed="false"/>
    <row r="3832" customFormat="false" ht="15" hidden="false" customHeight="false" outlineLevel="0" collapsed="false"/>
    <row r="3833" customFormat="false" ht="15" hidden="false" customHeight="false" outlineLevel="0" collapsed="false"/>
    <row r="3834" customFormat="false" ht="15" hidden="false" customHeight="false" outlineLevel="0" collapsed="false"/>
    <row r="3835" customFormat="false" ht="15" hidden="false" customHeight="false" outlineLevel="0" collapsed="false"/>
    <row r="3836" customFormat="false" ht="15" hidden="false" customHeight="false" outlineLevel="0" collapsed="false"/>
    <row r="3837" customFormat="false" ht="15" hidden="false" customHeight="false" outlineLevel="0" collapsed="false"/>
    <row r="3838" customFormat="false" ht="15" hidden="false" customHeight="false" outlineLevel="0" collapsed="false"/>
    <row r="3839" customFormat="false" ht="15" hidden="false" customHeight="false" outlineLevel="0" collapsed="false"/>
    <row r="3840" customFormat="false" ht="15" hidden="false" customHeight="false" outlineLevel="0" collapsed="false"/>
    <row r="3841" customFormat="false" ht="15" hidden="false" customHeight="false" outlineLevel="0" collapsed="false"/>
    <row r="3842" customFormat="false" ht="15" hidden="false" customHeight="false" outlineLevel="0" collapsed="false"/>
    <row r="3843" customFormat="false" ht="15" hidden="false" customHeight="false" outlineLevel="0" collapsed="false"/>
    <row r="3844" customFormat="false" ht="15" hidden="false" customHeight="false" outlineLevel="0" collapsed="false"/>
    <row r="3845" customFormat="false" ht="15" hidden="false" customHeight="false" outlineLevel="0" collapsed="false"/>
    <row r="3846" customFormat="false" ht="15" hidden="false" customHeight="false" outlineLevel="0" collapsed="false"/>
    <row r="3847" customFormat="false" ht="15" hidden="false" customHeight="false" outlineLevel="0" collapsed="false"/>
    <row r="3848" customFormat="false" ht="15" hidden="false" customHeight="false" outlineLevel="0" collapsed="false"/>
    <row r="3849" customFormat="false" ht="15" hidden="false" customHeight="false" outlineLevel="0" collapsed="false"/>
    <row r="3850" customFormat="false" ht="15" hidden="false" customHeight="false" outlineLevel="0" collapsed="false"/>
    <row r="3851" customFormat="false" ht="15" hidden="false" customHeight="false" outlineLevel="0" collapsed="false"/>
    <row r="3852" customFormat="false" ht="15" hidden="false" customHeight="false" outlineLevel="0" collapsed="false"/>
    <row r="3853" customFormat="false" ht="15" hidden="false" customHeight="false" outlineLevel="0" collapsed="false"/>
    <row r="3854" customFormat="false" ht="15" hidden="false" customHeight="false" outlineLevel="0" collapsed="false"/>
    <row r="3855" customFormat="false" ht="15" hidden="false" customHeight="false" outlineLevel="0" collapsed="false"/>
    <row r="3856" customFormat="false" ht="15" hidden="false" customHeight="false" outlineLevel="0" collapsed="false"/>
    <row r="3857" customFormat="false" ht="15" hidden="false" customHeight="false" outlineLevel="0" collapsed="false"/>
    <row r="3858" customFormat="false" ht="15" hidden="false" customHeight="false" outlineLevel="0" collapsed="false"/>
    <row r="3859" customFormat="false" ht="15" hidden="false" customHeight="false" outlineLevel="0" collapsed="false"/>
    <row r="3860" customFormat="false" ht="15" hidden="false" customHeight="false" outlineLevel="0" collapsed="false"/>
    <row r="3861" customFormat="false" ht="15" hidden="false" customHeight="false" outlineLevel="0" collapsed="false"/>
    <row r="3862" customFormat="false" ht="15" hidden="false" customHeight="false" outlineLevel="0" collapsed="false"/>
    <row r="3863" customFormat="false" ht="15" hidden="false" customHeight="false" outlineLevel="0" collapsed="false"/>
    <row r="3864" customFormat="false" ht="15" hidden="false" customHeight="false" outlineLevel="0" collapsed="false"/>
    <row r="3865" customFormat="false" ht="15" hidden="false" customHeight="false" outlineLevel="0" collapsed="false"/>
    <row r="3866" customFormat="false" ht="15" hidden="false" customHeight="false" outlineLevel="0" collapsed="false"/>
    <row r="3867" customFormat="false" ht="15" hidden="false" customHeight="false" outlineLevel="0" collapsed="false"/>
    <row r="3868" customFormat="false" ht="15" hidden="false" customHeight="false" outlineLevel="0" collapsed="false"/>
    <row r="3869" customFormat="false" ht="15" hidden="false" customHeight="false" outlineLevel="0" collapsed="false"/>
    <row r="3870" customFormat="false" ht="15" hidden="false" customHeight="false" outlineLevel="0" collapsed="false"/>
    <row r="3871" customFormat="false" ht="15" hidden="false" customHeight="false" outlineLevel="0" collapsed="false"/>
    <row r="3872" customFormat="false" ht="15" hidden="false" customHeight="false" outlineLevel="0" collapsed="false"/>
    <row r="3873" customFormat="false" ht="15" hidden="false" customHeight="false" outlineLevel="0" collapsed="false"/>
    <row r="3874" customFormat="false" ht="15" hidden="false" customHeight="false" outlineLevel="0" collapsed="false"/>
    <row r="3875" customFormat="false" ht="15" hidden="false" customHeight="false" outlineLevel="0" collapsed="false"/>
    <row r="3876" customFormat="false" ht="15" hidden="false" customHeight="false" outlineLevel="0" collapsed="false"/>
    <row r="3877" customFormat="false" ht="15" hidden="false" customHeight="false" outlineLevel="0" collapsed="false"/>
    <row r="3878" customFormat="false" ht="15" hidden="false" customHeight="false" outlineLevel="0" collapsed="false"/>
    <row r="3879" customFormat="false" ht="15" hidden="false" customHeight="false" outlineLevel="0" collapsed="false"/>
    <row r="3880" customFormat="false" ht="15" hidden="false" customHeight="false" outlineLevel="0" collapsed="false"/>
    <row r="3881" customFormat="false" ht="15" hidden="false" customHeight="false" outlineLevel="0" collapsed="false"/>
    <row r="3882" customFormat="false" ht="15" hidden="false" customHeight="false" outlineLevel="0" collapsed="false"/>
    <row r="3883" customFormat="false" ht="15" hidden="false" customHeight="false" outlineLevel="0" collapsed="false"/>
    <row r="3884" customFormat="false" ht="15" hidden="false" customHeight="false" outlineLevel="0" collapsed="false"/>
    <row r="3885" customFormat="false" ht="15" hidden="false" customHeight="false" outlineLevel="0" collapsed="false"/>
    <row r="3886" customFormat="false" ht="15" hidden="false" customHeight="false" outlineLevel="0" collapsed="false"/>
    <row r="3887" customFormat="false" ht="15" hidden="false" customHeight="false" outlineLevel="0" collapsed="false"/>
    <row r="3888" customFormat="false" ht="15" hidden="false" customHeight="false" outlineLevel="0" collapsed="false"/>
    <row r="3889" customFormat="false" ht="15" hidden="false" customHeight="false" outlineLevel="0" collapsed="false"/>
    <row r="3890" customFormat="false" ht="15" hidden="false" customHeight="false" outlineLevel="0" collapsed="false"/>
    <row r="3891" customFormat="false" ht="15" hidden="false" customHeight="false" outlineLevel="0" collapsed="false"/>
    <row r="3892" customFormat="false" ht="15" hidden="false" customHeight="false" outlineLevel="0" collapsed="false"/>
    <row r="3893" customFormat="false" ht="15" hidden="false" customHeight="false" outlineLevel="0" collapsed="false"/>
    <row r="3894" customFormat="false" ht="15" hidden="false" customHeight="false" outlineLevel="0" collapsed="false"/>
    <row r="3895" customFormat="false" ht="15" hidden="false" customHeight="false" outlineLevel="0" collapsed="false"/>
    <row r="3896" customFormat="false" ht="15" hidden="false" customHeight="false" outlineLevel="0" collapsed="false"/>
    <row r="3897" customFormat="false" ht="15" hidden="false" customHeight="false" outlineLevel="0" collapsed="false"/>
    <row r="3898" customFormat="false" ht="15" hidden="false" customHeight="false" outlineLevel="0" collapsed="false"/>
    <row r="3899" customFormat="false" ht="15" hidden="false" customHeight="false" outlineLevel="0" collapsed="false"/>
    <row r="3900" customFormat="false" ht="15" hidden="false" customHeight="false" outlineLevel="0" collapsed="false"/>
    <row r="3901" customFormat="false" ht="15" hidden="false" customHeight="false" outlineLevel="0" collapsed="false"/>
    <row r="3902" customFormat="false" ht="15" hidden="false" customHeight="false" outlineLevel="0" collapsed="false"/>
    <row r="3903" customFormat="false" ht="15" hidden="false" customHeight="false" outlineLevel="0" collapsed="false"/>
    <row r="3904" customFormat="false" ht="15" hidden="false" customHeight="false" outlineLevel="0" collapsed="false"/>
    <row r="3905" customFormat="false" ht="15" hidden="false" customHeight="false" outlineLevel="0" collapsed="false"/>
    <row r="3906" customFormat="false" ht="15" hidden="false" customHeight="false" outlineLevel="0" collapsed="false"/>
    <row r="3907" customFormat="false" ht="15" hidden="false" customHeight="false" outlineLevel="0" collapsed="false"/>
    <row r="3908" customFormat="false" ht="15" hidden="false" customHeight="false" outlineLevel="0" collapsed="false"/>
    <row r="3909" customFormat="false" ht="15" hidden="false" customHeight="false" outlineLevel="0" collapsed="false"/>
    <row r="3910" customFormat="false" ht="15" hidden="false" customHeight="false" outlineLevel="0" collapsed="false"/>
    <row r="3911" customFormat="false" ht="15" hidden="false" customHeight="false" outlineLevel="0" collapsed="false"/>
    <row r="3912" customFormat="false" ht="15" hidden="false" customHeight="false" outlineLevel="0" collapsed="false"/>
    <row r="3913" customFormat="false" ht="15" hidden="false" customHeight="false" outlineLevel="0" collapsed="false"/>
    <row r="3914" customFormat="false" ht="15" hidden="false" customHeight="false" outlineLevel="0" collapsed="false"/>
    <row r="3915" customFormat="false" ht="15" hidden="false" customHeight="false" outlineLevel="0" collapsed="false"/>
    <row r="3916" customFormat="false" ht="15" hidden="false" customHeight="false" outlineLevel="0" collapsed="false"/>
    <row r="3917" customFormat="false" ht="15" hidden="false" customHeight="false" outlineLevel="0" collapsed="false"/>
    <row r="3918" customFormat="false" ht="15" hidden="false" customHeight="false" outlineLevel="0" collapsed="false"/>
    <row r="3919" customFormat="false" ht="15" hidden="false" customHeight="false" outlineLevel="0" collapsed="false"/>
    <row r="3920" customFormat="false" ht="15" hidden="false" customHeight="false" outlineLevel="0" collapsed="false"/>
    <row r="3921" customFormat="false" ht="15" hidden="false" customHeight="false" outlineLevel="0" collapsed="false"/>
    <row r="3922" customFormat="false" ht="15" hidden="false" customHeight="false" outlineLevel="0" collapsed="false"/>
    <row r="3923" customFormat="false" ht="15" hidden="false" customHeight="false" outlineLevel="0" collapsed="false"/>
    <row r="3924" customFormat="false" ht="15" hidden="false" customHeight="false" outlineLevel="0" collapsed="false"/>
    <row r="3925" customFormat="false" ht="15" hidden="false" customHeight="false" outlineLevel="0" collapsed="false"/>
    <row r="3926" customFormat="false" ht="15" hidden="false" customHeight="false" outlineLevel="0" collapsed="false"/>
    <row r="3927" customFormat="false" ht="15" hidden="false" customHeight="false" outlineLevel="0" collapsed="false"/>
    <row r="3928" customFormat="false" ht="15" hidden="false" customHeight="false" outlineLevel="0" collapsed="false"/>
    <row r="3929" customFormat="false" ht="15" hidden="false" customHeight="false" outlineLevel="0" collapsed="false"/>
    <row r="3930" customFormat="false" ht="15" hidden="false" customHeight="false" outlineLevel="0" collapsed="false"/>
    <row r="3931" customFormat="false" ht="15" hidden="false" customHeight="false" outlineLevel="0" collapsed="false"/>
    <row r="3932" customFormat="false" ht="15" hidden="false" customHeight="false" outlineLevel="0" collapsed="false"/>
    <row r="3933" customFormat="false" ht="15" hidden="false" customHeight="false" outlineLevel="0" collapsed="false"/>
    <row r="3934" customFormat="false" ht="15" hidden="false" customHeight="false" outlineLevel="0" collapsed="false"/>
    <row r="3935" customFormat="false" ht="15" hidden="false" customHeight="false" outlineLevel="0" collapsed="false"/>
    <row r="3936" customFormat="false" ht="15" hidden="false" customHeight="false" outlineLevel="0" collapsed="false"/>
    <row r="3937" customFormat="false" ht="15" hidden="false" customHeight="false" outlineLevel="0" collapsed="false"/>
    <row r="3938" customFormat="false" ht="15" hidden="false" customHeight="false" outlineLevel="0" collapsed="false"/>
    <row r="3939" customFormat="false" ht="15" hidden="false" customHeight="false" outlineLevel="0" collapsed="false"/>
    <row r="3940" customFormat="false" ht="15" hidden="false" customHeight="false" outlineLevel="0" collapsed="false"/>
    <row r="3941" customFormat="false" ht="15" hidden="false" customHeight="false" outlineLevel="0" collapsed="false"/>
    <row r="3942" customFormat="false" ht="15" hidden="false" customHeight="false" outlineLevel="0" collapsed="false"/>
    <row r="3943" customFormat="false" ht="15" hidden="false" customHeight="false" outlineLevel="0" collapsed="false"/>
    <row r="3944" customFormat="false" ht="15" hidden="false" customHeight="false" outlineLevel="0" collapsed="false"/>
    <row r="3945" customFormat="false" ht="15" hidden="false" customHeight="false" outlineLevel="0" collapsed="false"/>
    <row r="3946" customFormat="false" ht="15" hidden="false" customHeight="false" outlineLevel="0" collapsed="false"/>
    <row r="3947" customFormat="false" ht="15" hidden="false" customHeight="false" outlineLevel="0" collapsed="false"/>
    <row r="3948" customFormat="false" ht="15" hidden="false" customHeight="false" outlineLevel="0" collapsed="false"/>
    <row r="3949" customFormat="false" ht="15" hidden="false" customHeight="false" outlineLevel="0" collapsed="false"/>
    <row r="3950" customFormat="false" ht="15" hidden="false" customHeight="false" outlineLevel="0" collapsed="false"/>
    <row r="3951" customFormat="false" ht="15" hidden="false" customHeight="false" outlineLevel="0" collapsed="false"/>
    <row r="3952" customFormat="false" ht="15" hidden="false" customHeight="false" outlineLevel="0" collapsed="false"/>
    <row r="3953" customFormat="false" ht="15" hidden="false" customHeight="false" outlineLevel="0" collapsed="false"/>
    <row r="3954" customFormat="false" ht="15" hidden="false" customHeight="false" outlineLevel="0" collapsed="false"/>
    <row r="3955" customFormat="false" ht="15" hidden="false" customHeight="false" outlineLevel="0" collapsed="false"/>
    <row r="3956" customFormat="false" ht="15" hidden="false" customHeight="false" outlineLevel="0" collapsed="false"/>
    <row r="3957" customFormat="false" ht="15" hidden="false" customHeight="false" outlineLevel="0" collapsed="false"/>
    <row r="3958" customFormat="false" ht="15" hidden="false" customHeight="false" outlineLevel="0" collapsed="false"/>
    <row r="3959" customFormat="false" ht="15" hidden="false" customHeight="false" outlineLevel="0" collapsed="false"/>
    <row r="3960" customFormat="false" ht="15" hidden="false" customHeight="false" outlineLevel="0" collapsed="false"/>
    <row r="3961" customFormat="false" ht="15" hidden="false" customHeight="false" outlineLevel="0" collapsed="false"/>
    <row r="3962" customFormat="false" ht="15" hidden="false" customHeight="false" outlineLevel="0" collapsed="false"/>
    <row r="3963" customFormat="false" ht="15" hidden="false" customHeight="false" outlineLevel="0" collapsed="false"/>
    <row r="3964" customFormat="false" ht="15" hidden="false" customHeight="false" outlineLevel="0" collapsed="false"/>
    <row r="3965" customFormat="false" ht="15" hidden="false" customHeight="false" outlineLevel="0" collapsed="false"/>
    <row r="3966" customFormat="false" ht="15" hidden="false" customHeight="false" outlineLevel="0" collapsed="false"/>
    <row r="3967" customFormat="false" ht="15" hidden="false" customHeight="false" outlineLevel="0" collapsed="false"/>
    <row r="3968" customFormat="false" ht="15" hidden="false" customHeight="false" outlineLevel="0" collapsed="false"/>
    <row r="3969" customFormat="false" ht="15" hidden="false" customHeight="false" outlineLevel="0" collapsed="false"/>
    <row r="3970" customFormat="false" ht="15" hidden="false" customHeight="false" outlineLevel="0" collapsed="false"/>
    <row r="3971" customFormat="false" ht="15" hidden="false" customHeight="false" outlineLevel="0" collapsed="false"/>
    <row r="3972" customFormat="false" ht="15" hidden="false" customHeight="false" outlineLevel="0" collapsed="false"/>
    <row r="3973" customFormat="false" ht="15" hidden="false" customHeight="false" outlineLevel="0" collapsed="false"/>
    <row r="3974" customFormat="false" ht="15" hidden="false" customHeight="false" outlineLevel="0" collapsed="false"/>
    <row r="3975" customFormat="false" ht="15" hidden="false" customHeight="false" outlineLevel="0" collapsed="false"/>
    <row r="3976" customFormat="false" ht="15" hidden="false" customHeight="false" outlineLevel="0" collapsed="false"/>
    <row r="3977" customFormat="false" ht="15" hidden="false" customHeight="false" outlineLevel="0" collapsed="false"/>
    <row r="3978" customFormat="false" ht="15" hidden="false" customHeight="false" outlineLevel="0" collapsed="false"/>
    <row r="3979" customFormat="false" ht="15" hidden="false" customHeight="false" outlineLevel="0" collapsed="false"/>
    <row r="3980" customFormat="false" ht="15" hidden="false" customHeight="false" outlineLevel="0" collapsed="false"/>
    <row r="3981" customFormat="false" ht="15" hidden="false" customHeight="false" outlineLevel="0" collapsed="false"/>
    <row r="3982" customFormat="false" ht="15" hidden="false" customHeight="false" outlineLevel="0" collapsed="false"/>
    <row r="3983" customFormat="false" ht="15" hidden="false" customHeight="false" outlineLevel="0" collapsed="false"/>
    <row r="3984" customFormat="false" ht="15" hidden="false" customHeight="false" outlineLevel="0" collapsed="false"/>
    <row r="3985" customFormat="false" ht="15" hidden="false" customHeight="false" outlineLevel="0" collapsed="false"/>
    <row r="3986" customFormat="false" ht="15" hidden="false" customHeight="false" outlineLevel="0" collapsed="false"/>
    <row r="3987" customFormat="false" ht="15" hidden="false" customHeight="false" outlineLevel="0" collapsed="false"/>
    <row r="3988" customFormat="false" ht="15" hidden="false" customHeight="false" outlineLevel="0" collapsed="false"/>
    <row r="3989" customFormat="false" ht="15" hidden="false" customHeight="false" outlineLevel="0" collapsed="false"/>
    <row r="3990" customFormat="false" ht="15" hidden="false" customHeight="false" outlineLevel="0" collapsed="false"/>
    <row r="3991" customFormat="false" ht="15" hidden="false" customHeight="false" outlineLevel="0" collapsed="false"/>
    <row r="3992" customFormat="false" ht="15" hidden="false" customHeight="false" outlineLevel="0" collapsed="false"/>
    <row r="3993" customFormat="false" ht="15" hidden="false" customHeight="false" outlineLevel="0" collapsed="false"/>
    <row r="3994" customFormat="false" ht="15" hidden="false" customHeight="false" outlineLevel="0" collapsed="false"/>
    <row r="3995" customFormat="false" ht="15" hidden="false" customHeight="false" outlineLevel="0" collapsed="false"/>
    <row r="3996" customFormat="false" ht="15" hidden="false" customHeight="false" outlineLevel="0" collapsed="false"/>
    <row r="3997" customFormat="false" ht="15" hidden="false" customHeight="false" outlineLevel="0" collapsed="false"/>
    <row r="3998" customFormat="false" ht="15" hidden="false" customHeight="false" outlineLevel="0" collapsed="false"/>
    <row r="3999" customFormat="false" ht="15" hidden="false" customHeight="false" outlineLevel="0" collapsed="false"/>
    <row r="4000" customFormat="false" ht="15" hidden="false" customHeight="false" outlineLevel="0" collapsed="false"/>
    <row r="4001" customFormat="false" ht="15" hidden="false" customHeight="false" outlineLevel="0" collapsed="false"/>
    <row r="4002" customFormat="false" ht="15" hidden="false" customHeight="false" outlineLevel="0" collapsed="false"/>
    <row r="4003" customFormat="false" ht="15" hidden="false" customHeight="false" outlineLevel="0" collapsed="false"/>
    <row r="4004" customFormat="false" ht="15" hidden="false" customHeight="false" outlineLevel="0" collapsed="false"/>
    <row r="4005" customFormat="false" ht="15" hidden="false" customHeight="false" outlineLevel="0" collapsed="false"/>
    <row r="4006" customFormat="false" ht="15" hidden="false" customHeight="false" outlineLevel="0" collapsed="false"/>
    <row r="4007" customFormat="false" ht="15" hidden="false" customHeight="false" outlineLevel="0" collapsed="false"/>
    <row r="4008" customFormat="false" ht="15" hidden="false" customHeight="false" outlineLevel="0" collapsed="false"/>
    <row r="4009" customFormat="false" ht="15" hidden="false" customHeight="false" outlineLevel="0" collapsed="false"/>
    <row r="4010" customFormat="false" ht="15" hidden="false" customHeight="false" outlineLevel="0" collapsed="false"/>
    <row r="4011" customFormat="false" ht="15" hidden="false" customHeight="false" outlineLevel="0" collapsed="false"/>
    <row r="4012" customFormat="false" ht="15" hidden="false" customHeight="false" outlineLevel="0" collapsed="false"/>
    <row r="4013" customFormat="false" ht="15" hidden="false" customHeight="false" outlineLevel="0" collapsed="false"/>
    <row r="4014" customFormat="false" ht="15" hidden="false" customHeight="false" outlineLevel="0" collapsed="false"/>
    <row r="4015" customFormat="false" ht="15" hidden="false" customHeight="false" outlineLevel="0" collapsed="false"/>
    <row r="4016" customFormat="false" ht="15" hidden="false" customHeight="false" outlineLevel="0" collapsed="false"/>
    <row r="4017" customFormat="false" ht="15" hidden="false" customHeight="false" outlineLevel="0" collapsed="false"/>
    <row r="4018" customFormat="false" ht="15" hidden="false" customHeight="false" outlineLevel="0" collapsed="false"/>
    <row r="4019" customFormat="false" ht="15" hidden="false" customHeight="false" outlineLevel="0" collapsed="false"/>
    <row r="4020" customFormat="false" ht="15" hidden="false" customHeight="false" outlineLevel="0" collapsed="false"/>
    <row r="4021" customFormat="false" ht="15" hidden="false" customHeight="false" outlineLevel="0" collapsed="false"/>
    <row r="4022" customFormat="false" ht="15" hidden="false" customHeight="false" outlineLevel="0" collapsed="false"/>
    <row r="4023" customFormat="false" ht="15" hidden="false" customHeight="false" outlineLevel="0" collapsed="false"/>
    <row r="4024" customFormat="false" ht="15" hidden="false" customHeight="false" outlineLevel="0" collapsed="false"/>
    <row r="4025" customFormat="false" ht="15" hidden="false" customHeight="false" outlineLevel="0" collapsed="false"/>
    <row r="4026" customFormat="false" ht="15" hidden="false" customHeight="false" outlineLevel="0" collapsed="false"/>
    <row r="4027" customFormat="false" ht="15" hidden="false" customHeight="false" outlineLevel="0" collapsed="false"/>
    <row r="4028" customFormat="false" ht="15" hidden="false" customHeight="false" outlineLevel="0" collapsed="false"/>
    <row r="4029" customFormat="false" ht="15" hidden="false" customHeight="false" outlineLevel="0" collapsed="false"/>
    <row r="4030" customFormat="false" ht="15" hidden="false" customHeight="false" outlineLevel="0" collapsed="false"/>
    <row r="4031" customFormat="false" ht="15" hidden="false" customHeight="false" outlineLevel="0" collapsed="false"/>
    <row r="4032" customFormat="false" ht="15" hidden="false" customHeight="false" outlineLevel="0" collapsed="false"/>
    <row r="4033" customFormat="false" ht="15" hidden="false" customHeight="false" outlineLevel="0" collapsed="false"/>
    <row r="4034" customFormat="false" ht="15" hidden="false" customHeight="false" outlineLevel="0" collapsed="false"/>
    <row r="4035" customFormat="false" ht="15" hidden="false" customHeight="false" outlineLevel="0" collapsed="false"/>
    <row r="4036" customFormat="false" ht="15" hidden="false" customHeight="false" outlineLevel="0" collapsed="false"/>
    <row r="4037" customFormat="false" ht="15" hidden="false" customHeight="false" outlineLevel="0" collapsed="false"/>
    <row r="4038" customFormat="false" ht="15" hidden="false" customHeight="false" outlineLevel="0" collapsed="false"/>
    <row r="4039" customFormat="false" ht="15" hidden="false" customHeight="false" outlineLevel="0" collapsed="false"/>
    <row r="4040" customFormat="false" ht="15" hidden="false" customHeight="false" outlineLevel="0" collapsed="false"/>
    <row r="4041" customFormat="false" ht="15" hidden="false" customHeight="false" outlineLevel="0" collapsed="false"/>
    <row r="4042" customFormat="false" ht="15" hidden="false" customHeight="false" outlineLevel="0" collapsed="false"/>
    <row r="4043" customFormat="false" ht="15" hidden="false" customHeight="false" outlineLevel="0" collapsed="false"/>
    <row r="4044" customFormat="false" ht="15" hidden="false" customHeight="false" outlineLevel="0" collapsed="false"/>
    <row r="4045" customFormat="false" ht="15" hidden="false" customHeight="false" outlineLevel="0" collapsed="false"/>
    <row r="4046" customFormat="false" ht="15" hidden="false" customHeight="false" outlineLevel="0" collapsed="false"/>
    <row r="4047" customFormat="false" ht="15" hidden="false" customHeight="false" outlineLevel="0" collapsed="false"/>
    <row r="4048" customFormat="false" ht="15" hidden="false" customHeight="false" outlineLevel="0" collapsed="false"/>
    <row r="4049" customFormat="false" ht="15" hidden="false" customHeight="false" outlineLevel="0" collapsed="false"/>
    <row r="4050" customFormat="false" ht="15" hidden="false" customHeight="false" outlineLevel="0" collapsed="false"/>
    <row r="4051" customFormat="false" ht="15" hidden="false" customHeight="false" outlineLevel="0" collapsed="false"/>
    <row r="4052" customFormat="false" ht="15" hidden="false" customHeight="false" outlineLevel="0" collapsed="false"/>
    <row r="4053" customFormat="false" ht="15" hidden="false" customHeight="false" outlineLevel="0" collapsed="false"/>
    <row r="4054" customFormat="false" ht="15" hidden="false" customHeight="false" outlineLevel="0" collapsed="false"/>
    <row r="4055" customFormat="false" ht="15" hidden="false" customHeight="false" outlineLevel="0" collapsed="false"/>
    <row r="4056" customFormat="false" ht="15" hidden="false" customHeight="false" outlineLevel="0" collapsed="false"/>
    <row r="4057" customFormat="false" ht="15" hidden="false" customHeight="false" outlineLevel="0" collapsed="false"/>
    <row r="4058" customFormat="false" ht="15" hidden="false" customHeight="false" outlineLevel="0" collapsed="false"/>
    <row r="4059" customFormat="false" ht="15" hidden="false" customHeight="false" outlineLevel="0" collapsed="false"/>
    <row r="4060" customFormat="false" ht="15" hidden="false" customHeight="false" outlineLevel="0" collapsed="false"/>
    <row r="4061" customFormat="false" ht="15" hidden="false" customHeight="false" outlineLevel="0" collapsed="false"/>
    <row r="4062" customFormat="false" ht="15" hidden="false" customHeight="false" outlineLevel="0" collapsed="false"/>
    <row r="4063" customFormat="false" ht="15" hidden="false" customHeight="false" outlineLevel="0" collapsed="false"/>
    <row r="4064" customFormat="false" ht="15" hidden="false" customHeight="false" outlineLevel="0" collapsed="false"/>
    <row r="4065" customFormat="false" ht="15" hidden="false" customHeight="false" outlineLevel="0" collapsed="false"/>
    <row r="4066" customFormat="false" ht="15" hidden="false" customHeight="false" outlineLevel="0" collapsed="false"/>
    <row r="4067" customFormat="false" ht="15" hidden="false" customHeight="false" outlineLevel="0" collapsed="false"/>
    <row r="4068" customFormat="false" ht="15" hidden="false" customHeight="false" outlineLevel="0" collapsed="false"/>
    <row r="4069" customFormat="false" ht="15" hidden="false" customHeight="false" outlineLevel="0" collapsed="false"/>
    <row r="4070" customFormat="false" ht="15" hidden="false" customHeight="false" outlineLevel="0" collapsed="false"/>
    <row r="4071" customFormat="false" ht="15" hidden="false" customHeight="false" outlineLevel="0" collapsed="false"/>
    <row r="4072" customFormat="false" ht="15" hidden="false" customHeight="false" outlineLevel="0" collapsed="false"/>
    <row r="4073" customFormat="false" ht="15" hidden="false" customHeight="false" outlineLevel="0" collapsed="false"/>
    <row r="4074" customFormat="false" ht="15" hidden="false" customHeight="false" outlineLevel="0" collapsed="false"/>
    <row r="4075" customFormat="false" ht="15" hidden="false" customHeight="false" outlineLevel="0" collapsed="false"/>
    <row r="4076" customFormat="false" ht="15" hidden="false" customHeight="false" outlineLevel="0" collapsed="false"/>
    <row r="4077" customFormat="false" ht="15" hidden="false" customHeight="false" outlineLevel="0" collapsed="false"/>
    <row r="4078" customFormat="false" ht="15" hidden="false" customHeight="false" outlineLevel="0" collapsed="false"/>
    <row r="4079" customFormat="false" ht="15" hidden="false" customHeight="false" outlineLevel="0" collapsed="false"/>
    <row r="4080" customFormat="false" ht="15" hidden="false" customHeight="false" outlineLevel="0" collapsed="false"/>
    <row r="4081" customFormat="false" ht="15" hidden="false" customHeight="false" outlineLevel="0" collapsed="false"/>
    <row r="4082" customFormat="false" ht="15" hidden="false" customHeight="false" outlineLevel="0" collapsed="false"/>
    <row r="4083" customFormat="false" ht="15" hidden="false" customHeight="false" outlineLevel="0" collapsed="false"/>
    <row r="4084" customFormat="false" ht="15" hidden="false" customHeight="false" outlineLevel="0" collapsed="false"/>
    <row r="4085" customFormat="false" ht="15" hidden="false" customHeight="false" outlineLevel="0" collapsed="false"/>
    <row r="4086" customFormat="false" ht="15" hidden="false" customHeight="false" outlineLevel="0" collapsed="false"/>
    <row r="4087" customFormat="false" ht="15" hidden="false" customHeight="false" outlineLevel="0" collapsed="false"/>
    <row r="4088" customFormat="false" ht="15" hidden="false" customHeight="false" outlineLevel="0" collapsed="false"/>
    <row r="4089" customFormat="false" ht="15" hidden="false" customHeight="false" outlineLevel="0" collapsed="false"/>
    <row r="4090" customFormat="false" ht="15" hidden="false" customHeight="false" outlineLevel="0" collapsed="false"/>
    <row r="4091" customFormat="false" ht="15" hidden="false" customHeight="false" outlineLevel="0" collapsed="false"/>
    <row r="4092" customFormat="false" ht="15" hidden="false" customHeight="false" outlineLevel="0" collapsed="false"/>
    <row r="4093" customFormat="false" ht="15" hidden="false" customHeight="false" outlineLevel="0" collapsed="false"/>
    <row r="4094" customFormat="false" ht="15" hidden="false" customHeight="false" outlineLevel="0" collapsed="false"/>
    <row r="4095" customFormat="false" ht="15" hidden="false" customHeight="false" outlineLevel="0" collapsed="false"/>
    <row r="4096" customFormat="false" ht="15" hidden="false" customHeight="false" outlineLevel="0" collapsed="false"/>
    <row r="4097" customFormat="false" ht="15" hidden="false" customHeight="false" outlineLevel="0" collapsed="false"/>
    <row r="4098" customFormat="false" ht="15" hidden="false" customHeight="false" outlineLevel="0" collapsed="false"/>
    <row r="4099" customFormat="false" ht="15" hidden="false" customHeight="false" outlineLevel="0" collapsed="false"/>
    <row r="4100" customFormat="false" ht="15" hidden="false" customHeight="false" outlineLevel="0" collapsed="false"/>
    <row r="4101" customFormat="false" ht="15" hidden="false" customHeight="false" outlineLevel="0" collapsed="false"/>
    <row r="4102" customFormat="false" ht="15" hidden="false" customHeight="false" outlineLevel="0" collapsed="false"/>
    <row r="4103" customFormat="false" ht="15" hidden="false" customHeight="false" outlineLevel="0" collapsed="false"/>
    <row r="4104" customFormat="false" ht="15" hidden="false" customHeight="false" outlineLevel="0" collapsed="false"/>
    <row r="4105" customFormat="false" ht="15" hidden="false" customHeight="false" outlineLevel="0" collapsed="false"/>
    <row r="4106" customFormat="false" ht="15" hidden="false" customHeight="false" outlineLevel="0" collapsed="false"/>
    <row r="4107" customFormat="false" ht="15" hidden="false" customHeight="false" outlineLevel="0" collapsed="false"/>
    <row r="4108" customFormat="false" ht="15" hidden="false" customHeight="false" outlineLevel="0" collapsed="false"/>
    <row r="4109" customFormat="false" ht="15" hidden="false" customHeight="false" outlineLevel="0" collapsed="false"/>
    <row r="4110" customFormat="false" ht="15" hidden="false" customHeight="false" outlineLevel="0" collapsed="false"/>
    <row r="4111" customFormat="false" ht="15" hidden="false" customHeight="false" outlineLevel="0" collapsed="false"/>
    <row r="4112" customFormat="false" ht="15" hidden="false" customHeight="false" outlineLevel="0" collapsed="false"/>
    <row r="4113" customFormat="false" ht="15" hidden="false" customHeight="false" outlineLevel="0" collapsed="false"/>
    <row r="4114" customFormat="false" ht="15" hidden="false" customHeight="false" outlineLevel="0" collapsed="false"/>
    <row r="4115" customFormat="false" ht="15" hidden="false" customHeight="false" outlineLevel="0" collapsed="false"/>
    <row r="4116" customFormat="false" ht="15" hidden="false" customHeight="false" outlineLevel="0" collapsed="false"/>
    <row r="4117" customFormat="false" ht="15" hidden="false" customHeight="false" outlineLevel="0" collapsed="false"/>
    <row r="4118" customFormat="false" ht="15" hidden="false" customHeight="false" outlineLevel="0" collapsed="false"/>
    <row r="4119" customFormat="false" ht="15" hidden="false" customHeight="false" outlineLevel="0" collapsed="false"/>
    <row r="4120" customFormat="false" ht="15" hidden="false" customHeight="false" outlineLevel="0" collapsed="false"/>
    <row r="4121" customFormat="false" ht="15" hidden="false" customHeight="false" outlineLevel="0" collapsed="false"/>
    <row r="4122" customFormat="false" ht="15" hidden="false" customHeight="false" outlineLevel="0" collapsed="false"/>
  </sheetData>
  <mergeCells count="1">
    <mergeCell ref="A11:E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151179</TotalTime>
  <Application>LibreOffice/25.2.5.2$MacOSX_AARCH64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2012-11-07T13:50:26Z</dcterms:created>
  <dc:creator/>
  <dc:description/>
  <dc:language>en-ZA</dc:language>
  <cp:lastModifiedBy/>
  <dcterms:modified xsi:type="dcterms:W3CDTF">2026-09-04T21:59:28Z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