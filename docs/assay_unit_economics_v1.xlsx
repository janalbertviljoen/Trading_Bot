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" sheetId="1" r:id="rId1"/>
  </sheets>
  <calcPr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5">
    <xf/>
    <xf numFmtId="10" applyNumberFormat="1"/>
    <xf numFmtId="3" applyNumberFormat="1"/>
    <xf fontId="1" applyFon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4" width="14" customWidth="1"/>
    <col min="5" max="5" width="70" customWidth="1"/>
  </cols>
  <sheetData>
    <row r="1">
      <c r="A1" t="inlineStr" s="3">
        <is>
          <t xml:space="preserve">Assay unit economics: what it takes to reach $50,000 operating profit before tax</t>
        </is>
      </c>
    </row>
    <row r="2">
      <c r="A2" t="inlineStr">
        <is>
          <t xml:space="preserve">Inputs marked ILLUSTRATIVE or OPEN are editable placeholders, not forecasts. Change any input; every result recalculates.</t>
        </is>
      </c>
    </row>
    <row r="3">
      <c r="A3" t="inlineStr" s="3">
        <is>
          <t xml:space="preserve">Input</t>
        </is>
      </c>
      <c r="B3" t="inlineStr" s="3">
        <is>
          <t xml:space="preserve">Conservative</t>
        </is>
      </c>
      <c r="C3" t="inlineStr" s="3">
        <is>
          <t xml:space="preserve">Base</t>
        </is>
      </c>
      <c r="D3" t="inlineStr" s="3">
        <is>
          <t xml:space="preserve">Upside</t>
        </is>
      </c>
      <c r="E3" t="inlineStr" s="3">
        <is>
          <t xml:space="preserve">Source or status</t>
        </is>
      </c>
    </row>
    <row r="4">
      <c r="A4" t="inlineStr">
        <is>
          <t xml:space="preserve">Plus price ($ a month)</t>
        </is>
      </c>
      <c r="B4" s="4">
        <v>4</v>
      </c>
      <c r="C4" s="4">
        <v>4</v>
      </c>
      <c r="D4" s="4">
        <v>4</v>
      </c>
      <c r="E4" t="inlineStr">
        <is>
          <t xml:space="preserve">Founder, indicative</t>
        </is>
      </c>
    </row>
    <row r="5">
      <c r="A5" t="inlineStr">
        <is>
          <t xml:space="preserve">Studio price ($ a month)</t>
        </is>
      </c>
      <c r="B5" s="4">
        <v>15</v>
      </c>
      <c r="C5" s="4">
        <v>15</v>
      </c>
      <c r="D5" s="4">
        <v>15</v>
      </c>
      <c r="E5" t="inlineStr">
        <is>
          <t xml:space="preserve">Founder, indicative ceiling; lower with own AI (open)</t>
        </is>
      </c>
    </row>
    <row r="6">
      <c r="A6" t="inlineStr">
        <is>
          <t xml:space="preserve">App-store or payment fee</t>
        </is>
      </c>
      <c r="B6" s="1">
        <v>0.15</v>
      </c>
      <c r="C6" s="1">
        <v>0.104</v>
      </c>
      <c r="D6" s="1">
        <v>0.035</v>
      </c>
      <c r="E6" t="inlineStr">
        <is>
          <t xml:space="preserve">Conservative: app store 15%; base: card fee on $4 monthly (about 2.9% + $0.30, approximate); upside: annual billing</t>
        </is>
      </c>
    </row>
    <row r="7">
      <c r="A7" t="inlineStr">
        <is>
          <t xml:space="preserve">Chat and other costs per payer ($ a year)</t>
        </is>
      </c>
      <c r="B7" s="4">
        <v>8</v>
      </c>
      <c r="C7" s="4">
        <v>2</v>
      </c>
      <c r="D7" s="4">
        <v>1</v>
      </c>
      <c r="E7" t="inlineStr">
        <is>
          <t xml:space="preserve">Conservative: v1 assumption; base and upside ILLUSTRATIVE (Haiku chat is cents a year)</t>
        </is>
      </c>
    </row>
    <row r="8">
      <c r="A8" t="inlineStr">
        <is>
          <t xml:space="preserve">Target operating profit ($ a year)</t>
        </is>
      </c>
      <c r="B8" s="2">
        <v>50000</v>
      </c>
      <c r="C8" s="2">
        <v>50000</v>
      </c>
      <c r="D8" s="2">
        <v>50000</v>
      </c>
      <c r="E8" t="inlineStr">
        <is>
          <t xml:space="preserve">Founder hurdle; definition open (tax, own time)</t>
        </is>
      </c>
    </row>
    <row r="9">
      <c r="A9" t="inlineStr">
        <is>
          <t xml:space="preserve">Infrastructure ($ a year)</t>
        </is>
      </c>
      <c r="B9" s="2">
        <v>6000</v>
      </c>
      <c r="C9" s="2">
        <v>4000</v>
      </c>
      <c r="D9" s="2">
        <v>1500</v>
      </c>
      <c r="E9" t="inlineStr">
        <is>
          <t xml:space="preserve">ILLUSTRATIVE: hosting, database, jobs, sign-in, monitoring (Appendix F)</t>
        </is>
      </c>
    </row>
    <row r="10">
      <c r="A10" t="inlineStr">
        <is>
          <t xml:space="preserve">Price-data licence ($ a year)</t>
        </is>
      </c>
      <c r="B10" s="2">
        <v>30000</v>
      </c>
      <c r="C10" s="2">
        <v>10000</v>
      </c>
      <c r="D10" s="2">
        <v>3000</v>
      </c>
      <c r="E10" t="inlineStr">
        <is>
          <t xml:space="preserve">ILLUSTRATIVE: licensed price data; to be quoted</t>
        </is>
      </c>
    </row>
    <row r="11">
      <c r="A11" t="inlineStr">
        <is>
          <t xml:space="preserve">Studio creators (count)</t>
        </is>
      </c>
      <c r="B11" s="2">
        <v>0</v>
      </c>
      <c r="C11" s="2">
        <v>25</v>
      </c>
      <c r="D11" s="2">
        <v>100</v>
      </c>
      <c r="E11" t="inlineStr">
        <is>
          <t xml:space="preserve">ILLUSTRATIVE</t>
        </is>
      </c>
    </row>
    <row r="12">
      <c r="A12" t="inlineStr">
        <is>
          <t xml:space="preserve">Download-to-paid conversion</t>
        </is>
      </c>
      <c r="B12" s="1">
        <v>0.015</v>
      </c>
      <c r="C12" s="1">
        <v>0.022</v>
      </c>
      <c r="D12" s="1">
        <v>0.03</v>
      </c>
      <c r="E12" t="inlineStr">
        <is>
          <t xml:space="preserve">Base: RevenueCat 2025 freemium median (download to paid); others ILLUSTRATIVE</t>
        </is>
      </c>
    </row>
    <row r="13">
      <c r="A13" t="inlineStr">
        <is>
          <t xml:space="preserve">Midas chat cost per free user ($ a year)</t>
        </is>
      </c>
      <c r="B13" s="4">
        <v>0.02</v>
      </c>
      <c r="C13" s="4">
        <v>0.006</v>
      </c>
      <c r="D13" s="4">
        <v>0.001</v>
      </c>
      <c r="E13" t="inlineStr">
        <is>
          <t xml:space="preserve">Estimate: Claude Haiku 5.5, about $0.0005 a question; base: 20% of free users ask 5 a month; upside: one shared explanation per pick</t>
        </is>
      </c>
    </row>
    <row r="14">
      <c r="A14" t="inlineStr">
        <is>
          <t xml:space="preserve">Monthly churn of payers</t>
        </is>
      </c>
      <c r="B14" s="1">
        <v>0.06</v>
      </c>
      <c r="C14" s="1">
        <v>0.04</v>
      </c>
      <c r="D14" s="1">
        <v>0.03</v>
      </c>
      <c r="E14" t="inlineStr">
        <is>
          <t xml:space="preserve">ILLUSTRATIVE</t>
        </is>
      </c>
    </row>
    <row r="15">
      <c r="A15" t="inlineStr">
        <is>
          <t xml:space="preserve">Creator commission (share of Plus net revenue)</t>
        </is>
      </c>
      <c r="B15" s="1">
        <v>0</v>
      </c>
      <c r="C15" s="1">
        <v>0</v>
      </c>
      <c r="D15" s="1">
        <v>0</v>
      </c>
      <c r="E15" t="inlineStr">
        <is>
          <t xml:space="preserve">OPEN DECISION: no rate set; 0 = no marketplace yet</t>
        </is>
      </c>
    </row>
    <row r="17">
      <c r="A17" t="inlineStr" s="3">
        <is>
          <t xml:space="preserve">Result</t>
        </is>
      </c>
    </row>
    <row r="18">
      <c r="A18" t="inlineStr">
        <is>
          <t xml:space="preserve">Plus contribution per subscriber ($ a year)</t>
        </is>
      </c>
      <c r="B18" s="4">
        <f>B4*12*(1-B6)*(1-B15)-B7</f>
      </c>
      <c r="C18" s="4">
        <f>C4*12*(1-C6)*(1-C15)-C7</f>
      </c>
      <c r="D18" s="4">
        <f>D4*12*(1-D6)*(1-D15)-D7</f>
      </c>
    </row>
    <row r="19">
      <c r="A19" t="inlineStr">
        <is>
          <t xml:space="preserve">Studio contribution per creator ($ a year)</t>
        </is>
      </c>
      <c r="B19" s="4">
        <f>B5*12*(1-B6)-B7</f>
      </c>
      <c r="C19" s="4">
        <f>C5*12*(1-C6)-C7</f>
      </c>
      <c r="D19" s="4">
        <f>D5*12*(1-D6)-D7</f>
      </c>
    </row>
    <row r="20">
      <c r="A20" t="inlineStr">
        <is>
          <t xml:space="preserve">Free-user chat cost per payer ($ a year)</t>
        </is>
      </c>
      <c r="B20" s="4">
        <f>B13*(1/B12-1)</f>
      </c>
      <c r="C20" s="4">
        <f>C13*(1/C12-1)</f>
      </c>
      <c r="D20" s="4">
        <f>D13*(1/D12-1)</f>
      </c>
    </row>
    <row r="21">
      <c r="A21" t="inlineStr">
        <is>
          <t xml:space="preserve">Contribution from Studio after free-user cost ($ a year)</t>
        </is>
      </c>
      <c r="B21" s="2">
        <f>B11*(B19-B20)</f>
      </c>
      <c r="C21" s="2">
        <f>C11*(C19-C20)</f>
      </c>
      <c r="D21" s="2">
        <f>D11*(D19-D20)</f>
      </c>
    </row>
    <row r="22">
      <c r="A22" t="inlineStr">
        <is>
          <t xml:space="preserve">Plus subscribers needed</t>
        </is>
      </c>
      <c r="B22" s="2">
        <f>ROUNDUP((B8+B9+B10-B21)/(B18-B20),0)</f>
      </c>
      <c r="C22" s="2">
        <f>ROUNDUP((C8+C9+C10-C21)/(C18-C20),0)</f>
      </c>
      <c r="D22" s="2">
        <f>ROUNDUP((D8+D9+D10-D21)/(D18-D20),0)</f>
      </c>
    </row>
    <row r="23">
      <c r="A23" t="inlineStr">
        <is>
          <t xml:space="preserve">Total paying customers</t>
        </is>
      </c>
      <c r="B23" s="2">
        <f>B22+B11</f>
      </c>
      <c r="C23" s="2">
        <f>C22+C11</f>
      </c>
      <c r="D23" s="2">
        <f>D22+D11</f>
      </c>
    </row>
    <row r="24">
      <c r="A24" t="inlineStr">
        <is>
          <t xml:space="preserve">Annual revenue ($)</t>
        </is>
      </c>
      <c r="B24" s="2">
        <f>B22*B4*12+B11*B5*12</f>
      </c>
      <c r="C24" s="2">
        <f>C22*C4*12+C11*C5*12</f>
      </c>
      <c r="D24" s="2">
        <f>D22*D4*12+D11*D5*12</f>
      </c>
    </row>
    <row r="25">
      <c r="A25" t="inlineStr">
        <is>
          <t xml:space="preserve">Monthly recurring revenue ($)</t>
        </is>
      </c>
      <c r="B25" s="2">
        <f>B24/12</f>
      </c>
      <c r="C25" s="2">
        <f>C24/12</f>
      </c>
      <c r="D25" s="2">
        <f>D24/12</f>
      </c>
    </row>
    <row r="26">
      <c r="A26" t="inlineStr">
        <is>
          <t xml:space="preserve">Variable costs incl. fees and free chat ($ a year)</t>
        </is>
      </c>
      <c r="B26" s="2">
        <f>B24*B6+B23*B7+B31*B13</f>
      </c>
      <c r="C26" s="2">
        <f>C24*C6+C23*C7+C31*C13</f>
      </c>
      <c r="D26" s="2">
        <f>D24*D6+D23*D7+D31*D13</f>
      </c>
    </row>
    <row r="27">
      <c r="A27" t="inlineStr">
        <is>
          <t xml:space="preserve">Creator commissions ($ a year)</t>
        </is>
      </c>
      <c r="B27" s="2">
        <f>B22*B4*12*(1-B6)*B15</f>
      </c>
      <c r="C27" s="2">
        <f>C22*C4*12*(1-C6)*C15</f>
      </c>
      <c r="D27" s="2">
        <f>D22*D4*12*(1-D6)*D15</f>
      </c>
    </row>
    <row r="28">
      <c r="A28" t="inlineStr">
        <is>
          <t xml:space="preserve">Contribution ($ a year)</t>
        </is>
      </c>
      <c r="B28" s="2">
        <f>B24-B26-B27</f>
      </c>
      <c r="C28" s="2">
        <f>C24-C26-C27</f>
      </c>
      <c r="D28" s="2">
        <f>D24-D26-D27</f>
      </c>
    </row>
    <row r="29">
      <c r="A29" t="inlineStr">
        <is>
          <t xml:space="preserve">Operating profit before tax ($ a year)</t>
        </is>
      </c>
      <c r="B29" s="2">
        <f>B28-B9-B10</f>
      </c>
      <c r="C29" s="2">
        <f>C28-C9-C10</f>
      </c>
      <c r="D29" s="2">
        <f>D28-D9-D10</f>
      </c>
    </row>
    <row r="30">
      <c r="A30" t="inlineStr">
        <is>
          <t xml:space="preserve">Downloads needed to reach the payers</t>
        </is>
      </c>
      <c r="B30" s="2">
        <f>ROUNDUP(B23/B12,0)</f>
      </c>
      <c r="C30" s="2">
        <f>ROUNDUP(C23/C12,0)</f>
      </c>
      <c r="D30" s="2">
        <f>ROUNDUP(D23/D12,0)</f>
      </c>
    </row>
    <row r="31">
      <c r="A31" t="inlineStr">
        <is>
          <t xml:space="preserve">Free users (downloads less payers)</t>
        </is>
      </c>
      <c r="B31" s="2">
        <f>B30-B23</f>
      </c>
      <c r="C31" s="2">
        <f>C30-C23</f>
      </c>
      <c r="D31" s="2">
        <f>D30-D23</f>
      </c>
    </row>
    <row r="32">
      <c r="A32" t="inlineStr">
        <is>
          <t xml:space="preserve">Payers lost each year to churn</t>
        </is>
      </c>
      <c r="B32" s="2">
        <f>B23*B14*12</f>
      </c>
      <c r="C32" s="2">
        <f>C23*C14*12</f>
      </c>
      <c r="D32" s="2">
        <f>D23*D14*12</f>
      </c>
    </row>
    <row r="33">
      <c r="A33" t="inlineStr">
        <is>
          <t xml:space="preserve">Downloads a year to replace them</t>
        </is>
      </c>
      <c r="B33" s="2">
        <f>ROUNDUP(B32/B12,0)</f>
      </c>
      <c r="C33" s="2">
        <f>ROUNDUP(C32/C12,0)</f>
      </c>
      <c r="D33" s="2">
        <f>ROUNDUP(D32/D12,0)</f>
      </c>
    </row>
    <row r="35">
      <c r="A35" t="inlineStr">
        <is>
          <t xml:space="preserve">Contribution is revenue less store fees, payers' chat and data costs, the free users' Midas chat and creator commissions; operating profit also deducts fixed costs. Both are before tax and before paying the founder.</t>
        </is>
      </c>
    </row>
    <row r="36">
      <c r="A36" t="inlineStr">
        <is>
          <t xml:space="preserve">v1 reconciliation: v1 rounded the Plus contribution to about $33; it is $4 x 12 x 0.85 - $8 = $32.80. 1,500 payers give $49,200 and 2,000 give $65,600 of contribution before fixed costs, not profit.</t>
        </is>
      </c>
    </row>
    <row r="37">
      <c r="A37" t="inlineStr">
        <is>
          <t xml:space="preserve">v1 applied a download-to-paid rate to sign-ups and rounded it to 2%; at 2.2% of downloads, 1,500 to 2,000 payers need about 68,182 to 90,909 downloads.</t>
        </is>
      </c>
    </row>
    <row r="38">
      <c r="A38" t="inlineStr">
        <is>
          <t xml:space="preserve">Commission sensitivity: each 10% of Plus net revenue paid to creators costs $4.08 per Plus subscriber a year.</t>
        </is>
      </c>
    </row>
  </sheetData>
</worksheet>
</file>